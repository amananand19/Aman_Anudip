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urses\Anudip2\Classwork\"/>
    </mc:Choice>
  </mc:AlternateContent>
  <xr:revisionPtr revIDLastSave="0" documentId="13_ncr:1_{5B386D46-DED0-45E5-B103-1F51B484B160}" xr6:coauthVersionLast="47" xr6:coauthVersionMax="47" xr10:uidLastSave="{00000000-0000-0000-0000-000000000000}"/>
  <bookViews>
    <workbookView xWindow="-108" yWindow="-108" windowWidth="23256" windowHeight="13176" xr2:uid="{FF34E11D-2D81-4AD4-A45F-1C92BFFA492D}"/>
  </bookViews>
  <sheets>
    <sheet name="Assignment_Vlooku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2" i="1" l="1"/>
  <c r="B57" i="1"/>
  <c r="Q56" i="1"/>
  <c r="Q50" i="1"/>
  <c r="Q39" i="1"/>
  <c r="B51" i="1"/>
  <c r="B76" i="1"/>
  <c r="Q72" i="1"/>
  <c r="B69" i="1"/>
  <c r="Q67" i="1"/>
  <c r="B44" i="1"/>
  <c r="B38" i="1"/>
  <c r="B31" i="1"/>
  <c r="Q30" i="1"/>
  <c r="B22" i="1"/>
  <c r="P17" i="1"/>
  <c r="B16" i="1"/>
  <c r="B10" i="1"/>
  <c r="P4" i="1"/>
  <c r="B4" i="1"/>
</calcChain>
</file>

<file path=xl/sharedStrings.xml><?xml version="1.0" encoding="utf-8"?>
<sst xmlns="http://schemas.openxmlformats.org/spreadsheetml/2006/main" count="165" uniqueCount="95">
  <si>
    <r>
      <t xml:space="preserve">1. Find the </t>
    </r>
    <r>
      <rPr>
        <b/>
        <sz val="11"/>
        <color theme="5"/>
        <rFont val="Calibri"/>
        <family val="2"/>
        <scheme val="minor"/>
      </rPr>
      <t>Name</t>
    </r>
    <r>
      <rPr>
        <sz val="11"/>
        <color theme="5"/>
        <rFont val="Calibri"/>
        <family val="2"/>
        <scheme val="minor"/>
      </rPr>
      <t xml:space="preserve"> of employee with </t>
    </r>
    <r>
      <rPr>
        <b/>
        <sz val="11"/>
        <color theme="5"/>
        <rFont val="Calibri"/>
        <family val="2"/>
        <scheme val="minor"/>
      </rPr>
      <t>Emp ID E104</t>
    </r>
    <r>
      <rPr>
        <sz val="11"/>
        <color theme="5"/>
        <rFont val="Calibri"/>
        <family val="2"/>
        <scheme val="minor"/>
      </rPr>
      <t xml:space="preserve"> using Vlookup</t>
    </r>
  </si>
  <si>
    <r>
      <t xml:space="preserve">5. If </t>
    </r>
    <r>
      <rPr>
        <b/>
        <sz val="11"/>
        <color theme="5"/>
        <rFont val="Calibri"/>
        <family val="2"/>
        <scheme val="minor"/>
      </rPr>
      <t>Emp ID is entered in any cell</t>
    </r>
    <r>
      <rPr>
        <sz val="11"/>
        <color theme="5"/>
        <rFont val="Calibri"/>
        <family val="2"/>
        <scheme val="minor"/>
      </rPr>
      <t xml:space="preserve">, retrieve the </t>
    </r>
    <r>
      <rPr>
        <b/>
        <sz val="11"/>
        <color theme="5"/>
        <rFont val="Calibri"/>
        <family val="2"/>
        <scheme val="minor"/>
      </rPr>
      <t>Salary</t>
    </r>
    <r>
      <rPr>
        <sz val="11"/>
        <color theme="5"/>
        <rFont val="Calibri"/>
        <family val="2"/>
        <scheme val="minor"/>
      </rPr>
      <t xml:space="preserve"> of automatically</t>
    </r>
  </si>
  <si>
    <t>Emp ID</t>
  </si>
  <si>
    <t>Name</t>
  </si>
  <si>
    <t>Salary</t>
  </si>
  <si>
    <t>E104</t>
  </si>
  <si>
    <t>E101</t>
  </si>
  <si>
    <t>E103</t>
  </si>
  <si>
    <t>E102</t>
  </si>
  <si>
    <t>Department</t>
  </si>
  <si>
    <t>City</t>
  </si>
  <si>
    <r>
      <t xml:space="preserve">2. Find the </t>
    </r>
    <r>
      <rPr>
        <b/>
        <sz val="11"/>
        <color theme="5"/>
        <rFont val="Calibri"/>
        <family val="2"/>
        <scheme val="minor"/>
      </rPr>
      <t xml:space="preserve">Department </t>
    </r>
    <r>
      <rPr>
        <sz val="11"/>
        <color theme="5"/>
        <rFont val="Calibri"/>
        <family val="2"/>
        <scheme val="minor"/>
      </rPr>
      <t xml:space="preserve">of employee </t>
    </r>
    <r>
      <rPr>
        <b/>
        <sz val="11"/>
        <color theme="5"/>
        <rFont val="Calibri"/>
        <family val="2"/>
        <scheme val="minor"/>
      </rPr>
      <t xml:space="preserve">E104 </t>
    </r>
    <r>
      <rPr>
        <sz val="11"/>
        <color theme="5"/>
        <rFont val="Calibri"/>
        <family val="2"/>
        <scheme val="minor"/>
      </rPr>
      <t>using Vlookup</t>
    </r>
  </si>
  <si>
    <t>Amit</t>
  </si>
  <si>
    <t>HR</t>
  </si>
  <si>
    <t>Delhi</t>
  </si>
  <si>
    <t>Neha</t>
  </si>
  <si>
    <t>IT</t>
  </si>
  <si>
    <t>Mumbai</t>
  </si>
  <si>
    <t>E105</t>
  </si>
  <si>
    <t>Rahul</t>
  </si>
  <si>
    <t>Finance</t>
  </si>
  <si>
    <t>Kolkata</t>
  </si>
  <si>
    <t>E106</t>
  </si>
  <si>
    <t>Priya</t>
  </si>
  <si>
    <t>Bangalore</t>
  </si>
  <si>
    <t>E107</t>
  </si>
  <si>
    <t>Arjun</t>
  </si>
  <si>
    <t>Marketing</t>
  </si>
  <si>
    <t>Pune</t>
  </si>
  <si>
    <t>E108</t>
  </si>
  <si>
    <t>Riya</t>
  </si>
  <si>
    <r>
      <t>3. Find the</t>
    </r>
    <r>
      <rPr>
        <b/>
        <sz val="11"/>
        <color theme="5"/>
        <rFont val="Calibri"/>
        <family val="2"/>
        <scheme val="minor"/>
      </rPr>
      <t xml:space="preserve"> Salary</t>
    </r>
    <r>
      <rPr>
        <sz val="11"/>
        <color theme="5"/>
        <rFont val="Calibri"/>
        <family val="2"/>
        <scheme val="minor"/>
      </rPr>
      <t xml:space="preserve"> of employee </t>
    </r>
    <r>
      <rPr>
        <b/>
        <sz val="11"/>
        <color theme="5"/>
        <rFont val="Calibri"/>
        <family val="2"/>
        <scheme val="minor"/>
      </rPr>
      <t>E108</t>
    </r>
    <r>
      <rPr>
        <sz val="11"/>
        <color theme="5"/>
        <rFont val="Calibri"/>
        <family val="2"/>
        <scheme val="minor"/>
      </rPr>
      <t xml:space="preserve"> using Vlookup</t>
    </r>
  </si>
  <si>
    <t>Karan</t>
  </si>
  <si>
    <t>Sneha</t>
  </si>
  <si>
    <t>Chennai</t>
  </si>
  <si>
    <r>
      <t>6. I</t>
    </r>
    <r>
      <rPr>
        <b/>
        <sz val="11"/>
        <color theme="5"/>
        <rFont val="Calibri"/>
        <family val="2"/>
        <scheme val="minor"/>
      </rPr>
      <t>f Emp ID is entered in any cell</t>
    </r>
    <r>
      <rPr>
        <sz val="11"/>
        <color theme="5"/>
        <rFont val="Calibri"/>
        <family val="2"/>
        <scheme val="minor"/>
      </rPr>
      <t xml:space="preserve">, retrieve the </t>
    </r>
    <r>
      <rPr>
        <b/>
        <sz val="11"/>
        <color theme="5"/>
        <rFont val="Calibri"/>
        <family val="2"/>
        <scheme val="minor"/>
      </rPr>
      <t>Department</t>
    </r>
  </si>
  <si>
    <r>
      <t>4. Find the</t>
    </r>
    <r>
      <rPr>
        <b/>
        <sz val="11"/>
        <color theme="5"/>
        <rFont val="Calibri"/>
        <family val="2"/>
        <scheme val="minor"/>
      </rPr>
      <t xml:space="preserve"> City</t>
    </r>
    <r>
      <rPr>
        <sz val="11"/>
        <color theme="5"/>
        <rFont val="Calibri"/>
        <family val="2"/>
        <scheme val="minor"/>
      </rPr>
      <t xml:space="preserve"> of employee </t>
    </r>
    <r>
      <rPr>
        <b/>
        <sz val="11"/>
        <color theme="5"/>
        <rFont val="Calibri"/>
        <family val="2"/>
        <scheme val="minor"/>
      </rPr>
      <t>E105</t>
    </r>
    <r>
      <rPr>
        <sz val="11"/>
        <color theme="5"/>
        <rFont val="Calibri"/>
        <family val="2"/>
        <scheme val="minor"/>
      </rPr>
      <t xml:space="preserve"> using Vlookup</t>
    </r>
  </si>
  <si>
    <r>
      <t xml:space="preserve">4. If </t>
    </r>
    <r>
      <rPr>
        <b/>
        <sz val="11"/>
        <color theme="5"/>
        <rFont val="Calibri"/>
        <family val="2"/>
        <scheme val="minor"/>
      </rPr>
      <t>Student ID</t>
    </r>
    <r>
      <rPr>
        <sz val="11"/>
        <color theme="5"/>
        <rFont val="Calibri"/>
        <family val="2"/>
        <scheme val="minor"/>
      </rPr>
      <t xml:space="preserve"> is entered in any cell, return the </t>
    </r>
    <r>
      <rPr>
        <b/>
        <sz val="11"/>
        <color theme="5"/>
        <rFont val="Calibri"/>
        <family val="2"/>
        <scheme val="minor"/>
      </rPr>
      <t>Name.</t>
    </r>
  </si>
  <si>
    <r>
      <rPr>
        <sz val="11"/>
        <color theme="5"/>
        <rFont val="Calibri"/>
        <family val="2"/>
        <scheme val="minor"/>
      </rPr>
      <t xml:space="preserve">1. Find </t>
    </r>
    <r>
      <rPr>
        <b/>
        <sz val="11"/>
        <color theme="5"/>
        <rFont val="Calibri"/>
        <family val="2"/>
        <scheme val="minor"/>
      </rPr>
      <t>Maths marks</t>
    </r>
    <r>
      <rPr>
        <sz val="11"/>
        <color theme="5"/>
        <rFont val="Calibri"/>
        <family val="2"/>
        <scheme val="minor"/>
      </rPr>
      <t xml:space="preserve"> of </t>
    </r>
    <r>
      <rPr>
        <b/>
        <sz val="11"/>
        <color theme="5"/>
        <rFont val="Calibri"/>
        <family val="2"/>
        <scheme val="minor"/>
      </rPr>
      <t>S103</t>
    </r>
    <r>
      <rPr>
        <sz val="11"/>
        <color theme="5"/>
        <rFont val="Calibri"/>
        <family val="2"/>
        <scheme val="minor"/>
      </rPr>
      <t>.</t>
    </r>
  </si>
  <si>
    <t>Student ID</t>
  </si>
  <si>
    <t>Maths</t>
  </si>
  <si>
    <t>S101</t>
  </si>
  <si>
    <t>S103</t>
  </si>
  <si>
    <t>S102</t>
  </si>
  <si>
    <t>S104</t>
  </si>
  <si>
    <t>Science</t>
  </si>
  <si>
    <t>English</t>
  </si>
  <si>
    <t>S105</t>
  </si>
  <si>
    <r>
      <rPr>
        <sz val="11"/>
        <color theme="5"/>
        <rFont val="Calibri"/>
        <family val="2"/>
        <scheme val="minor"/>
      </rPr>
      <t xml:space="preserve">2.Find </t>
    </r>
    <r>
      <rPr>
        <b/>
        <sz val="11"/>
        <color theme="5"/>
        <rFont val="Calibri"/>
        <family val="2"/>
        <scheme val="minor"/>
      </rPr>
      <t>Science marks</t>
    </r>
    <r>
      <rPr>
        <sz val="11"/>
        <color theme="5"/>
        <rFont val="Calibri"/>
        <family val="2"/>
        <scheme val="minor"/>
      </rPr>
      <t xml:space="preserve"> of</t>
    </r>
    <r>
      <rPr>
        <b/>
        <sz val="11"/>
        <color theme="5"/>
        <rFont val="Calibri"/>
        <family val="2"/>
        <scheme val="minor"/>
      </rPr>
      <t xml:space="preserve"> S102.</t>
    </r>
  </si>
  <si>
    <t>Asha</t>
  </si>
  <si>
    <t>Ravi</t>
  </si>
  <si>
    <r>
      <t xml:space="preserve">5. Retrieve </t>
    </r>
    <r>
      <rPr>
        <b/>
        <sz val="11"/>
        <color theme="5"/>
        <rFont val="Calibri"/>
        <family val="2"/>
        <scheme val="minor"/>
      </rPr>
      <t>Science marks dynamically</t>
    </r>
    <r>
      <rPr>
        <sz val="11"/>
        <color theme="5"/>
        <rFont val="Calibri"/>
        <family val="2"/>
        <scheme val="minor"/>
      </rPr>
      <t xml:space="preserve"> using </t>
    </r>
    <r>
      <rPr>
        <b/>
        <sz val="11"/>
        <color theme="5"/>
        <rFont val="Calibri"/>
        <family val="2"/>
        <scheme val="minor"/>
      </rPr>
      <t>Student ID</t>
    </r>
    <r>
      <rPr>
        <sz val="11"/>
        <color theme="5"/>
        <rFont val="Calibri"/>
        <family val="2"/>
        <scheme val="minor"/>
      </rPr>
      <t xml:space="preserve"> in any cell.</t>
    </r>
  </si>
  <si>
    <t>Meena</t>
  </si>
  <si>
    <t>Kiran</t>
  </si>
  <si>
    <r>
      <rPr>
        <sz val="11"/>
        <color theme="5"/>
        <rFont val="Calibri"/>
        <family val="2"/>
        <scheme val="minor"/>
      </rPr>
      <t xml:space="preserve">3. Find </t>
    </r>
    <r>
      <rPr>
        <b/>
        <sz val="11"/>
        <color theme="5"/>
        <rFont val="Calibri"/>
        <family val="2"/>
        <scheme val="minor"/>
      </rPr>
      <t>English marks</t>
    </r>
    <r>
      <rPr>
        <sz val="11"/>
        <color theme="5"/>
        <rFont val="Calibri"/>
        <family val="2"/>
        <scheme val="minor"/>
      </rPr>
      <t xml:space="preserve"> of </t>
    </r>
    <r>
      <rPr>
        <b/>
        <sz val="11"/>
        <color theme="5"/>
        <rFont val="Calibri"/>
        <family val="2"/>
        <scheme val="minor"/>
      </rPr>
      <t>S105.</t>
    </r>
  </si>
  <si>
    <r>
      <t xml:space="preserve">If </t>
    </r>
    <r>
      <rPr>
        <b/>
        <sz val="11"/>
        <color theme="5"/>
        <rFont val="Calibri"/>
        <family val="2"/>
        <scheme val="minor"/>
      </rPr>
      <t>Product ID</t>
    </r>
    <r>
      <rPr>
        <sz val="11"/>
        <color theme="5"/>
        <rFont val="Calibri"/>
        <family val="2"/>
        <scheme val="minor"/>
      </rPr>
      <t xml:space="preserve"> is entered in any cell, return the </t>
    </r>
    <r>
      <rPr>
        <b/>
        <sz val="11"/>
        <color theme="5"/>
        <rFont val="Calibri"/>
        <family val="2"/>
        <scheme val="minor"/>
      </rPr>
      <t>Price</t>
    </r>
    <r>
      <rPr>
        <sz val="11"/>
        <color theme="5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</si>
  <si>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5"/>
        <rFont val="Calibri"/>
        <family val="2"/>
        <scheme val="minor"/>
      </rPr>
      <t>Price of product P103</t>
    </r>
    <r>
      <rPr>
        <sz val="11"/>
        <color theme="5"/>
        <rFont val="Calibri"/>
        <family val="2"/>
        <scheme val="minor"/>
      </rPr>
      <t xml:space="preserve"> using </t>
    </r>
    <r>
      <rPr>
        <b/>
        <sz val="11"/>
        <color theme="5"/>
        <rFont val="Calibri"/>
        <family val="2"/>
        <scheme val="minor"/>
      </rPr>
      <t>HLOOKUP</t>
    </r>
    <r>
      <rPr>
        <sz val="11"/>
        <color theme="5"/>
        <rFont val="Calibri"/>
        <family val="2"/>
        <scheme val="minor"/>
      </rPr>
      <t>.</t>
    </r>
  </si>
  <si>
    <t>Product ID</t>
  </si>
  <si>
    <t>P101</t>
  </si>
  <si>
    <t>P103</t>
  </si>
  <si>
    <t>Product Name</t>
  </si>
  <si>
    <t>Price</t>
  </si>
  <si>
    <t>P102</t>
  </si>
  <si>
    <t>P104</t>
  </si>
  <si>
    <t>P105</t>
  </si>
  <si>
    <r>
      <t xml:space="preserve">If </t>
    </r>
    <r>
      <rPr>
        <b/>
        <sz val="11"/>
        <color theme="5"/>
        <rFont val="Calibri"/>
        <family val="2"/>
        <scheme val="minor"/>
      </rPr>
      <t>Product ID</t>
    </r>
    <r>
      <rPr>
        <sz val="11"/>
        <color theme="5"/>
        <rFont val="Calibri"/>
        <family val="2"/>
        <scheme val="minor"/>
      </rPr>
      <t xml:space="preserve"> is entered in any cell, return the </t>
    </r>
    <r>
      <rPr>
        <b/>
        <sz val="11"/>
        <color theme="5"/>
        <rFont val="Calibri"/>
        <family val="2"/>
        <scheme val="minor"/>
      </rPr>
      <t>Stock</t>
    </r>
    <r>
      <rPr>
        <sz val="11"/>
        <color theme="5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</si>
  <si>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5"/>
        <rFont val="Calibri"/>
        <family val="2"/>
        <scheme val="minor"/>
      </rPr>
      <t>Stock of P104</t>
    </r>
    <r>
      <rPr>
        <sz val="11"/>
        <color theme="5"/>
        <rFont val="Calibri"/>
        <family val="2"/>
        <scheme val="minor"/>
      </rPr>
      <t>.</t>
    </r>
  </si>
  <si>
    <t>Laptop</t>
  </si>
  <si>
    <t>Mouse</t>
  </si>
  <si>
    <t>Keyboard</t>
  </si>
  <si>
    <t>Monitor</t>
  </si>
  <si>
    <t>Printer</t>
  </si>
  <si>
    <t>Stock</t>
  </si>
  <si>
    <r>
      <t xml:space="preserve">Retrieve </t>
    </r>
    <r>
      <rPr>
        <b/>
        <sz val="11"/>
        <color theme="5"/>
        <rFont val="Calibri"/>
        <family val="2"/>
        <scheme val="minor"/>
      </rPr>
      <t>Product Name of P101</t>
    </r>
    <r>
      <rPr>
        <sz val="11"/>
        <color theme="5"/>
        <rFont val="Calibri"/>
        <family val="2"/>
        <scheme val="minor"/>
      </rPr>
      <t>.</t>
    </r>
  </si>
  <si>
    <r>
      <t xml:space="preserve">If </t>
    </r>
    <r>
      <rPr>
        <b/>
        <sz val="11"/>
        <color theme="5"/>
        <rFont val="Calibri"/>
        <family val="2"/>
        <scheme val="minor"/>
      </rPr>
      <t>Course ID</t>
    </r>
    <r>
      <rPr>
        <sz val="11"/>
        <color theme="5"/>
        <rFont val="Calibri"/>
        <family val="2"/>
        <scheme val="minor"/>
      </rPr>
      <t xml:space="preserve"> entered in any cell, display </t>
    </r>
    <r>
      <rPr>
        <b/>
        <sz val="11"/>
        <color theme="5"/>
        <rFont val="Calibri"/>
        <family val="2"/>
        <scheme val="minor"/>
      </rPr>
      <t>Name</t>
    </r>
    <r>
      <rPr>
        <sz val="11"/>
        <color theme="5"/>
        <rFont val="Calibri"/>
        <family val="2"/>
        <scheme val="minor"/>
      </rPr>
      <t>.</t>
    </r>
  </si>
  <si>
    <r>
      <t xml:space="preserve">Retrieve </t>
    </r>
    <r>
      <rPr>
        <b/>
        <sz val="11"/>
        <color theme="5"/>
        <rFont val="Calibri"/>
        <family val="2"/>
        <scheme val="minor"/>
      </rPr>
      <t>Course name for C103</t>
    </r>
    <r>
      <rPr>
        <sz val="11"/>
        <color theme="5"/>
        <rFont val="Calibri"/>
        <family val="2"/>
        <scheme val="minor"/>
      </rPr>
      <t>.</t>
    </r>
  </si>
  <si>
    <t>ID</t>
  </si>
  <si>
    <t>C101</t>
  </si>
  <si>
    <t>Course</t>
  </si>
  <si>
    <t>Fees</t>
  </si>
  <si>
    <t>C103</t>
  </si>
  <si>
    <t>Rohan</t>
  </si>
  <si>
    <t>Excel</t>
  </si>
  <si>
    <r>
      <t xml:space="preserve">If </t>
    </r>
    <r>
      <rPr>
        <b/>
        <sz val="11"/>
        <color theme="5"/>
        <rFont val="Calibri"/>
        <family val="2"/>
        <scheme val="minor"/>
      </rPr>
      <t>Course ID</t>
    </r>
    <r>
      <rPr>
        <sz val="11"/>
        <color theme="5"/>
        <rFont val="Calibri"/>
        <family val="2"/>
        <scheme val="minor"/>
      </rPr>
      <t xml:space="preserve"> entered in any cell, display </t>
    </r>
    <r>
      <rPr>
        <b/>
        <sz val="11"/>
        <color theme="5"/>
        <rFont val="Calibri"/>
        <family val="2"/>
        <scheme val="minor"/>
      </rPr>
      <t>Fees</t>
    </r>
    <r>
      <rPr>
        <sz val="11"/>
        <color theme="5"/>
        <rFont val="Calibri"/>
        <family val="2"/>
        <scheme val="minor"/>
      </rPr>
      <t>.</t>
    </r>
  </si>
  <si>
    <t>C102</t>
  </si>
  <si>
    <t>Ananya</t>
  </si>
  <si>
    <t>Power BI</t>
  </si>
  <si>
    <t>Vikram</t>
  </si>
  <si>
    <t>SQL</t>
  </si>
  <si>
    <t>C104</t>
  </si>
  <si>
    <t>Python</t>
  </si>
  <si>
    <r>
      <t xml:space="preserve">Retrieve </t>
    </r>
    <r>
      <rPr>
        <b/>
        <sz val="11"/>
        <color theme="5"/>
        <rFont val="Calibri"/>
        <family val="2"/>
        <scheme val="minor"/>
      </rPr>
      <t>Fees for C104</t>
    </r>
    <r>
      <rPr>
        <sz val="11"/>
        <color theme="5"/>
        <rFont val="Calibri"/>
        <family val="2"/>
        <scheme val="minor"/>
      </rPr>
      <t>.</t>
    </r>
  </si>
  <si>
    <t>C105</t>
  </si>
  <si>
    <t>Aman</t>
  </si>
  <si>
    <t>Tableau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</si>
</sst>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2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3" fillId="0" borderId="0" xfId="0" applyFont="1"/>
    <xf numFmtId="0" fontId="6" fillId="0" borderId="1" xfId="0" applyFont="1" applyBorder="1"/>
    <xf numFmtId="0" fontId="7" fillId="0" borderId="0" xfId="0" applyFont="1"/>
    <xf numFmtId="0" fontId="8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4BC2-FAE7-4A65-82EB-41A61D24B8DF}">
  <dimension ref="A1:T76"/>
  <sheetViews>
    <sheetView tabSelected="1" topLeftCell="A63" zoomScaleNormal="55" workbookViewId="0">
      <selection activeCell="B62" sqref="A61:B62"/>
    </sheetView>
  </sheetViews>
  <sheetFormatPr defaultRowHeight="14.4" x14ac:dyDescent="0.3"/>
  <cols>
    <col min="1" max="1" width="13.21875" bestFit="1" customWidth="1"/>
    <col min="2" max="2" width="6.88671875" bestFit="1" customWidth="1"/>
    <col min="3" max="3" width="12.109375" bestFit="1" customWidth="1"/>
    <col min="4" max="4" width="6.77734375" bestFit="1" customWidth="1"/>
    <col min="5" max="5" width="10.21875" bestFit="1" customWidth="1"/>
    <col min="7" max="7" width="7.5546875" bestFit="1" customWidth="1"/>
    <col min="8" max="8" width="12.88671875" bestFit="1" customWidth="1"/>
    <col min="9" max="9" width="6.77734375" bestFit="1" customWidth="1"/>
    <col min="10" max="10" width="6.88671875" bestFit="1" customWidth="1"/>
    <col min="12" max="12" width="7.33203125" bestFit="1" customWidth="1"/>
    <col min="13" max="13" width="6.6640625" bestFit="1" customWidth="1"/>
    <col min="14" max="14" width="6.88671875" bestFit="1" customWidth="1"/>
    <col min="15" max="16" width="9.88671875" bestFit="1" customWidth="1"/>
    <col min="17" max="17" width="5.109375" bestFit="1" customWidth="1"/>
    <col min="18" max="18" width="11" bestFit="1" customWidth="1"/>
    <col min="19" max="19" width="7.6640625" bestFit="1" customWidth="1"/>
  </cols>
  <sheetData>
    <row r="1" spans="1:19" x14ac:dyDescent="0.3">
      <c r="A1" s="1" t="s">
        <v>0</v>
      </c>
      <c r="N1" s="1" t="s">
        <v>1</v>
      </c>
    </row>
    <row r="3" spans="1:19" ht="15.6" x14ac:dyDescent="0.3">
      <c r="A3" s="3" t="s">
        <v>2</v>
      </c>
      <c r="B3" s="3" t="s">
        <v>3</v>
      </c>
      <c r="O3" s="2" t="s">
        <v>2</v>
      </c>
      <c r="P3" s="2" t="s">
        <v>4</v>
      </c>
    </row>
    <row r="4" spans="1:19" ht="15.6" x14ac:dyDescent="0.3">
      <c r="A4" s="3" t="s">
        <v>5</v>
      </c>
      <c r="B4" s="3" t="str">
        <f>VLOOKUP(A4,G6:K14,2,0)</f>
        <v>Priya</v>
      </c>
      <c r="O4" s="2" t="s">
        <v>7</v>
      </c>
      <c r="P4" s="2">
        <f>VLOOKUP(O4,G6:K14,4,0)</f>
        <v>45000</v>
      </c>
    </row>
    <row r="6" spans="1:19" ht="15.6" x14ac:dyDescent="0.3">
      <c r="G6" s="8" t="s">
        <v>2</v>
      </c>
      <c r="H6" s="8" t="s">
        <v>3</v>
      </c>
      <c r="I6" s="8" t="s">
        <v>9</v>
      </c>
      <c r="J6" s="8" t="s">
        <v>4</v>
      </c>
      <c r="K6" s="8" t="s">
        <v>10</v>
      </c>
    </row>
    <row r="7" spans="1:19" ht="15.6" x14ac:dyDescent="0.3">
      <c r="A7" s="1" t="s">
        <v>11</v>
      </c>
      <c r="B7" s="1"/>
      <c r="C7" s="1"/>
      <c r="D7" s="1"/>
      <c r="E7" s="1"/>
      <c r="G7" s="8" t="s">
        <v>6</v>
      </c>
      <c r="H7" s="8" t="s">
        <v>12</v>
      </c>
      <c r="I7" s="8" t="s">
        <v>13</v>
      </c>
      <c r="J7" s="8">
        <v>35000</v>
      </c>
      <c r="K7" s="8" t="s">
        <v>14</v>
      </c>
    </row>
    <row r="8" spans="1:19" ht="15.6" x14ac:dyDescent="0.3">
      <c r="G8" s="8" t="s">
        <v>8</v>
      </c>
      <c r="H8" s="8" t="s">
        <v>15</v>
      </c>
      <c r="I8" s="8" t="s">
        <v>16</v>
      </c>
      <c r="J8" s="8">
        <v>50000</v>
      </c>
      <c r="K8" s="8" t="s">
        <v>17</v>
      </c>
    </row>
    <row r="9" spans="1:19" ht="15.6" x14ac:dyDescent="0.3">
      <c r="A9" s="2" t="s">
        <v>2</v>
      </c>
      <c r="B9" s="2" t="s">
        <v>9</v>
      </c>
      <c r="G9" s="8" t="s">
        <v>7</v>
      </c>
      <c r="H9" s="8" t="s">
        <v>19</v>
      </c>
      <c r="I9" s="8" t="s">
        <v>20</v>
      </c>
      <c r="J9" s="8">
        <v>45000</v>
      </c>
      <c r="K9" s="8" t="s">
        <v>21</v>
      </c>
    </row>
    <row r="10" spans="1:19" ht="15.6" x14ac:dyDescent="0.3">
      <c r="A10" s="2" t="s">
        <v>5</v>
      </c>
      <c r="B10" s="2" t="str">
        <f>VLOOKUP(A10,G6:K14,3,0)</f>
        <v>IT</v>
      </c>
      <c r="G10" s="8" t="s">
        <v>5</v>
      </c>
      <c r="H10" s="8" t="s">
        <v>23</v>
      </c>
      <c r="I10" s="8" t="s">
        <v>16</v>
      </c>
      <c r="J10" s="8">
        <v>52000</v>
      </c>
      <c r="K10" s="8" t="s">
        <v>24</v>
      </c>
    </row>
    <row r="11" spans="1:19" ht="15.6" x14ac:dyDescent="0.3">
      <c r="G11" s="8" t="s">
        <v>18</v>
      </c>
      <c r="H11" s="8" t="s">
        <v>26</v>
      </c>
      <c r="I11" s="8" t="s">
        <v>27</v>
      </c>
      <c r="J11" s="8">
        <v>40000</v>
      </c>
      <c r="K11" s="8" t="s">
        <v>28</v>
      </c>
    </row>
    <row r="12" spans="1:19" ht="15.6" x14ac:dyDescent="0.3">
      <c r="G12" s="8" t="s">
        <v>22</v>
      </c>
      <c r="H12" s="8" t="s">
        <v>30</v>
      </c>
      <c r="I12" s="8" t="s">
        <v>13</v>
      </c>
      <c r="J12" s="8">
        <v>36000</v>
      </c>
      <c r="K12" s="8" t="s">
        <v>14</v>
      </c>
    </row>
    <row r="13" spans="1:19" ht="15.6" x14ac:dyDescent="0.3">
      <c r="A13" s="1" t="s">
        <v>31</v>
      </c>
      <c r="G13" s="8" t="s">
        <v>25</v>
      </c>
      <c r="H13" s="8" t="s">
        <v>32</v>
      </c>
      <c r="I13" s="8" t="s">
        <v>20</v>
      </c>
      <c r="J13" s="8">
        <v>47000</v>
      </c>
      <c r="K13" s="8" t="s">
        <v>17</v>
      </c>
    </row>
    <row r="14" spans="1:19" ht="15.6" x14ac:dyDescent="0.3">
      <c r="G14" s="8" t="s">
        <v>29</v>
      </c>
      <c r="H14" s="8" t="s">
        <v>33</v>
      </c>
      <c r="I14" s="8" t="s">
        <v>27</v>
      </c>
      <c r="J14" s="8">
        <v>42000</v>
      </c>
      <c r="K14" s="8" t="s">
        <v>34</v>
      </c>
      <c r="N14" s="1" t="s">
        <v>35</v>
      </c>
      <c r="O14" s="1"/>
      <c r="P14" s="1"/>
      <c r="Q14" s="1"/>
      <c r="R14" s="1"/>
      <c r="S14" s="1"/>
    </row>
    <row r="15" spans="1:19" x14ac:dyDescent="0.3">
      <c r="A15" s="2" t="s">
        <v>2</v>
      </c>
      <c r="B15" s="2" t="s">
        <v>4</v>
      </c>
    </row>
    <row r="16" spans="1:19" x14ac:dyDescent="0.3">
      <c r="A16" s="2" t="s">
        <v>29</v>
      </c>
      <c r="B16" s="2">
        <f>VLOOKUP(A16,G6:K14,4,0)</f>
        <v>42000</v>
      </c>
      <c r="N16" s="4"/>
      <c r="O16" s="2" t="s">
        <v>2</v>
      </c>
      <c r="P16" s="2" t="s">
        <v>9</v>
      </c>
    </row>
    <row r="17" spans="1:19" x14ac:dyDescent="0.3">
      <c r="N17" s="4"/>
      <c r="O17" s="2" t="s">
        <v>8</v>
      </c>
      <c r="P17" s="2" t="str">
        <f>VLOOKUP(O17,G6:K14,3,0)</f>
        <v>IT</v>
      </c>
    </row>
    <row r="18" spans="1:19" x14ac:dyDescent="0.3">
      <c r="N18" s="4"/>
      <c r="O18" s="4"/>
      <c r="P18" s="4"/>
    </row>
    <row r="19" spans="1:19" x14ac:dyDescent="0.3">
      <c r="A19" s="1" t="s">
        <v>36</v>
      </c>
      <c r="N19" s="4"/>
      <c r="O19" s="4"/>
      <c r="P19" s="4"/>
    </row>
    <row r="20" spans="1:19" x14ac:dyDescent="0.3">
      <c r="N20" s="4"/>
      <c r="O20" s="4"/>
      <c r="P20" s="4"/>
    </row>
    <row r="21" spans="1:19" x14ac:dyDescent="0.3">
      <c r="A21" s="2" t="s">
        <v>2</v>
      </c>
      <c r="B21" s="2" t="s">
        <v>4</v>
      </c>
      <c r="N21" s="4"/>
      <c r="O21" s="4"/>
      <c r="P21" s="4"/>
    </row>
    <row r="22" spans="1:19" x14ac:dyDescent="0.3">
      <c r="A22" s="2" t="s">
        <v>18</v>
      </c>
      <c r="B22" s="2" t="str">
        <f>VLOOKUP(A22,G6:K14,5,0)</f>
        <v>Pune</v>
      </c>
      <c r="N22" s="4"/>
      <c r="O22" s="4"/>
      <c r="P22" s="4"/>
    </row>
    <row r="23" spans="1:19" x14ac:dyDescent="0.3">
      <c r="N23" s="4"/>
      <c r="O23" s="4"/>
      <c r="P23" s="4"/>
    </row>
    <row r="24" spans="1:19" x14ac:dyDescent="0.3">
      <c r="N24" s="4"/>
      <c r="O24" s="4"/>
      <c r="P24" s="4"/>
    </row>
    <row r="27" spans="1:19" x14ac:dyDescent="0.3">
      <c r="O27" s="1" t="s">
        <v>37</v>
      </c>
      <c r="P27" s="1"/>
      <c r="Q27" s="1"/>
      <c r="R27" s="1"/>
      <c r="S27" s="1"/>
    </row>
    <row r="28" spans="1:19" x14ac:dyDescent="0.3">
      <c r="A28" s="1" t="s">
        <v>38</v>
      </c>
    </row>
    <row r="29" spans="1:19" x14ac:dyDescent="0.3">
      <c r="N29" s="4"/>
      <c r="O29" s="4"/>
      <c r="P29" s="2" t="s">
        <v>39</v>
      </c>
      <c r="Q29" s="2" t="s">
        <v>3</v>
      </c>
    </row>
    <row r="30" spans="1:19" x14ac:dyDescent="0.3">
      <c r="A30" s="2" t="s">
        <v>39</v>
      </c>
      <c r="B30" s="2" t="s">
        <v>40</v>
      </c>
      <c r="N30" s="4"/>
      <c r="O30" s="4"/>
      <c r="P30" s="2" t="s">
        <v>41</v>
      </c>
      <c r="Q30" s="2" t="str">
        <f>VLOOKUP(P30,G34:K39,2,0)</f>
        <v>Asha</v>
      </c>
    </row>
    <row r="31" spans="1:19" x14ac:dyDescent="0.3">
      <c r="A31" s="2" t="s">
        <v>42</v>
      </c>
      <c r="B31" s="2">
        <f>VLOOKUP(A31,G34:K39,3,0)</f>
        <v>88</v>
      </c>
      <c r="N31" s="4"/>
      <c r="O31" s="4"/>
      <c r="P31" s="4"/>
      <c r="Q31" s="4"/>
    </row>
    <row r="32" spans="1:19" x14ac:dyDescent="0.3">
      <c r="N32" s="4"/>
      <c r="O32" s="4"/>
      <c r="P32" s="4"/>
      <c r="Q32" s="4"/>
    </row>
    <row r="33" spans="1:20" x14ac:dyDescent="0.3">
      <c r="G33" s="7"/>
      <c r="H33" s="7"/>
      <c r="I33" s="7"/>
      <c r="J33" s="7"/>
      <c r="K33" s="7"/>
      <c r="N33" s="4"/>
      <c r="O33" s="4"/>
      <c r="P33" s="4"/>
      <c r="Q33" s="4"/>
    </row>
    <row r="34" spans="1:20" x14ac:dyDescent="0.3">
      <c r="G34" s="6" t="s">
        <v>39</v>
      </c>
      <c r="H34" s="6" t="s">
        <v>3</v>
      </c>
      <c r="I34" s="6" t="s">
        <v>40</v>
      </c>
      <c r="J34" s="6" t="s">
        <v>45</v>
      </c>
      <c r="K34" s="6" t="s">
        <v>46</v>
      </c>
      <c r="N34" s="4"/>
      <c r="O34" s="4"/>
      <c r="P34" s="4"/>
      <c r="Q34" s="4"/>
    </row>
    <row r="35" spans="1:20" x14ac:dyDescent="0.3">
      <c r="A35" s="1" t="s">
        <v>48</v>
      </c>
      <c r="G35" s="6" t="s">
        <v>41</v>
      </c>
      <c r="H35" s="6" t="s">
        <v>49</v>
      </c>
      <c r="I35" s="6">
        <v>78</v>
      </c>
      <c r="J35" s="6">
        <v>82</v>
      </c>
      <c r="K35" s="6">
        <v>74</v>
      </c>
    </row>
    <row r="36" spans="1:20" x14ac:dyDescent="0.3">
      <c r="G36" s="6" t="s">
        <v>43</v>
      </c>
      <c r="H36" s="6" t="s">
        <v>50</v>
      </c>
      <c r="I36" s="6">
        <v>65</v>
      </c>
      <c r="J36" s="6">
        <v>70</v>
      </c>
      <c r="K36" s="6">
        <v>68</v>
      </c>
      <c r="O36" s="1" t="s">
        <v>51</v>
      </c>
      <c r="P36" s="1"/>
      <c r="Q36" s="1"/>
      <c r="R36" s="1"/>
      <c r="S36" s="1"/>
    </row>
    <row r="37" spans="1:20" x14ac:dyDescent="0.3">
      <c r="A37" s="2" t="s">
        <v>39</v>
      </c>
      <c r="B37" s="2" t="s">
        <v>45</v>
      </c>
      <c r="G37" s="6" t="s">
        <v>42</v>
      </c>
      <c r="H37" s="6" t="s">
        <v>52</v>
      </c>
      <c r="I37" s="6">
        <v>88</v>
      </c>
      <c r="J37" s="6">
        <v>91</v>
      </c>
      <c r="K37" s="6">
        <v>85</v>
      </c>
    </row>
    <row r="38" spans="1:20" x14ac:dyDescent="0.3">
      <c r="A38" s="2" t="s">
        <v>43</v>
      </c>
      <c r="B38" s="2">
        <f>VLOOKUP(A38,G34:K39,4,0)</f>
        <v>70</v>
      </c>
      <c r="G38" s="6" t="s">
        <v>44</v>
      </c>
      <c r="H38" s="6" t="s">
        <v>26</v>
      </c>
      <c r="I38" s="6">
        <v>72</v>
      </c>
      <c r="J38" s="6">
        <v>75</v>
      </c>
      <c r="K38" s="6">
        <v>70</v>
      </c>
      <c r="O38" s="4"/>
      <c r="P38" s="2" t="s">
        <v>39</v>
      </c>
      <c r="Q38" s="2" t="s">
        <v>45</v>
      </c>
    </row>
    <row r="39" spans="1:20" x14ac:dyDescent="0.3">
      <c r="G39" s="6" t="s">
        <v>47</v>
      </c>
      <c r="H39" s="6" t="s">
        <v>53</v>
      </c>
      <c r="I39" s="6">
        <v>90</v>
      </c>
      <c r="J39" s="6">
        <v>93</v>
      </c>
      <c r="K39" s="6">
        <v>89</v>
      </c>
      <c r="O39" s="4"/>
      <c r="P39" s="2" t="s">
        <v>42</v>
      </c>
      <c r="Q39" s="2">
        <f>VLOOKUP(P39,G34:K39,4,0)</f>
        <v>91</v>
      </c>
    </row>
    <row r="40" spans="1:20" x14ac:dyDescent="0.3">
      <c r="O40" s="4"/>
      <c r="P40" s="4"/>
      <c r="Q40" s="4"/>
    </row>
    <row r="41" spans="1:20" x14ac:dyDescent="0.3">
      <c r="A41" s="1" t="s">
        <v>54</v>
      </c>
      <c r="O41" s="4"/>
      <c r="P41" s="4"/>
      <c r="Q41" s="4"/>
    </row>
    <row r="42" spans="1:20" x14ac:dyDescent="0.3">
      <c r="O42" s="4"/>
      <c r="P42" s="4"/>
      <c r="Q42" s="4"/>
    </row>
    <row r="43" spans="1:20" x14ac:dyDescent="0.3">
      <c r="A43" s="2" t="s">
        <v>39</v>
      </c>
      <c r="B43" s="2" t="s">
        <v>45</v>
      </c>
      <c r="O43" s="4"/>
      <c r="P43" s="4"/>
      <c r="Q43" s="4"/>
    </row>
    <row r="44" spans="1:20" x14ac:dyDescent="0.3">
      <c r="A44" s="2" t="s">
        <v>47</v>
      </c>
      <c r="B44" s="2">
        <f>VLOOKUP(A44,G34:K39,5,0)</f>
        <v>89</v>
      </c>
    </row>
    <row r="45" spans="1:20" x14ac:dyDescent="0.3">
      <c r="F45" s="4"/>
    </row>
    <row r="47" spans="1:20" x14ac:dyDescent="0.3">
      <c r="P47" s="1" t="s">
        <v>55</v>
      </c>
      <c r="Q47" s="1"/>
      <c r="R47" s="1"/>
      <c r="S47" s="1"/>
      <c r="T47" s="1"/>
    </row>
    <row r="48" spans="1:20" x14ac:dyDescent="0.3">
      <c r="A48" s="1" t="s">
        <v>56</v>
      </c>
      <c r="B48" s="1"/>
      <c r="C48" s="1"/>
      <c r="D48" s="1"/>
      <c r="E48" s="1"/>
    </row>
    <row r="49" spans="1:20" x14ac:dyDescent="0.3">
      <c r="P49" s="2" t="s">
        <v>57</v>
      </c>
      <c r="Q49" s="2" t="s">
        <v>63</v>
      </c>
    </row>
    <row r="50" spans="1:20" x14ac:dyDescent="0.3">
      <c r="A50" s="2" t="s">
        <v>57</v>
      </c>
      <c r="B50" s="2" t="s">
        <v>59</v>
      </c>
      <c r="P50" s="2" t="s">
        <v>61</v>
      </c>
      <c r="Q50" s="2">
        <f>HLOOKUP(Q49,H53:M56,3,0)</f>
        <v>9000</v>
      </c>
    </row>
    <row r="51" spans="1:20" x14ac:dyDescent="0.3">
      <c r="A51" s="2" t="s">
        <v>61</v>
      </c>
      <c r="B51" s="2">
        <f>HLOOKUP(B50,H53:M56,3,0)</f>
        <v>1200</v>
      </c>
    </row>
    <row r="52" spans="1:20" x14ac:dyDescent="0.3">
      <c r="H52" s="7"/>
      <c r="I52" s="7"/>
      <c r="J52" s="7"/>
      <c r="K52" s="7"/>
      <c r="L52" s="7"/>
      <c r="M52" s="7"/>
    </row>
    <row r="53" spans="1:20" x14ac:dyDescent="0.3">
      <c r="H53" s="6" t="s">
        <v>57</v>
      </c>
      <c r="I53" s="6" t="s">
        <v>58</v>
      </c>
      <c r="J53" s="6" t="s">
        <v>62</v>
      </c>
      <c r="K53" s="6" t="s">
        <v>59</v>
      </c>
      <c r="L53" s="6" t="s">
        <v>63</v>
      </c>
      <c r="M53" s="6" t="s">
        <v>64</v>
      </c>
      <c r="P53" s="1" t="s">
        <v>65</v>
      </c>
      <c r="Q53" s="1"/>
      <c r="R53" s="1"/>
      <c r="S53" s="1"/>
      <c r="T53" s="1"/>
    </row>
    <row r="54" spans="1:20" x14ac:dyDescent="0.3">
      <c r="A54" s="1" t="s">
        <v>66</v>
      </c>
      <c r="B54" s="1"/>
      <c r="C54" s="1"/>
      <c r="H54" s="6" t="s">
        <v>60</v>
      </c>
      <c r="I54" s="6" t="s">
        <v>67</v>
      </c>
      <c r="J54" s="6" t="s">
        <v>68</v>
      </c>
      <c r="K54" s="6" t="s">
        <v>69</v>
      </c>
      <c r="L54" s="6" t="s">
        <v>70</v>
      </c>
      <c r="M54" s="6" t="s">
        <v>71</v>
      </c>
    </row>
    <row r="55" spans="1:20" x14ac:dyDescent="0.3">
      <c r="H55" s="6" t="s">
        <v>61</v>
      </c>
      <c r="I55" s="6">
        <v>55000</v>
      </c>
      <c r="J55" s="6">
        <v>500</v>
      </c>
      <c r="K55" s="6">
        <v>1200</v>
      </c>
      <c r="L55" s="6">
        <v>9000</v>
      </c>
      <c r="M55" s="6">
        <v>7000</v>
      </c>
      <c r="P55" s="2" t="s">
        <v>57</v>
      </c>
      <c r="Q55" s="2" t="s">
        <v>58</v>
      </c>
    </row>
    <row r="56" spans="1:20" x14ac:dyDescent="0.3">
      <c r="A56" s="2" t="s">
        <v>57</v>
      </c>
      <c r="B56" s="2" t="s">
        <v>63</v>
      </c>
      <c r="H56" s="6" t="s">
        <v>72</v>
      </c>
      <c r="I56" s="6">
        <v>25</v>
      </c>
      <c r="J56" s="6">
        <v>150</v>
      </c>
      <c r="K56" s="6">
        <v>80</v>
      </c>
      <c r="L56" s="6">
        <v>40</v>
      </c>
      <c r="M56" s="6">
        <v>35</v>
      </c>
      <c r="P56" s="2" t="s">
        <v>72</v>
      </c>
      <c r="Q56" s="2">
        <f>HLOOKUP(Q55,H53:M56,4,0)</f>
        <v>25</v>
      </c>
    </row>
    <row r="57" spans="1:20" x14ac:dyDescent="0.3">
      <c r="A57" s="2" t="s">
        <v>72</v>
      </c>
      <c r="B57" s="2">
        <f>HLOOKUP(B56,H53:M56,4,0)</f>
        <v>40</v>
      </c>
    </row>
    <row r="59" spans="1:20" x14ac:dyDescent="0.3">
      <c r="A59" s="1" t="s">
        <v>73</v>
      </c>
      <c r="B59" s="1"/>
      <c r="C59" s="1"/>
    </row>
    <row r="60" spans="1:20" x14ac:dyDescent="0.3">
      <c r="A60" s="1"/>
      <c r="B60" s="1"/>
      <c r="C60" s="1"/>
    </row>
    <row r="61" spans="1:20" x14ac:dyDescent="0.3">
      <c r="A61" s="2" t="s">
        <v>57</v>
      </c>
      <c r="B61" s="2" t="s">
        <v>58</v>
      </c>
    </row>
    <row r="62" spans="1:20" x14ac:dyDescent="0.3">
      <c r="A62" s="2" t="s">
        <v>60</v>
      </c>
      <c r="B62" s="5" t="str">
        <f>HLOOKUP(B61,H53:M56,2,0)</f>
        <v>Laptop</v>
      </c>
    </row>
    <row r="64" spans="1:20" x14ac:dyDescent="0.3">
      <c r="P64" s="1" t="s">
        <v>74</v>
      </c>
      <c r="Q64" s="1"/>
      <c r="R64" s="1"/>
      <c r="S64" s="1"/>
      <c r="T64" s="1"/>
    </row>
    <row r="66" spans="1:20" x14ac:dyDescent="0.3">
      <c r="A66" s="1" t="s">
        <v>75</v>
      </c>
      <c r="B66" s="1"/>
      <c r="C66" s="1"/>
      <c r="P66" s="2" t="s">
        <v>76</v>
      </c>
      <c r="Q66" s="2" t="s">
        <v>3</v>
      </c>
    </row>
    <row r="67" spans="1:20" x14ac:dyDescent="0.3">
      <c r="P67" s="2" t="s">
        <v>77</v>
      </c>
      <c r="Q67" s="2" t="str">
        <f>VLOOKUP(P67,I68:L73,2,0)</f>
        <v>Rohan</v>
      </c>
    </row>
    <row r="68" spans="1:20" x14ac:dyDescent="0.3">
      <c r="A68" s="2" t="s">
        <v>76</v>
      </c>
      <c r="B68" s="2" t="s">
        <v>78</v>
      </c>
      <c r="I68" s="6" t="s">
        <v>76</v>
      </c>
      <c r="J68" s="6" t="s">
        <v>3</v>
      </c>
      <c r="K68" s="6" t="s">
        <v>78</v>
      </c>
      <c r="L68" s="6" t="s">
        <v>79</v>
      </c>
    </row>
    <row r="69" spans="1:20" x14ac:dyDescent="0.3">
      <c r="A69" s="2" t="s">
        <v>80</v>
      </c>
      <c r="B69" s="2" t="str">
        <f>VLOOKUP(A69,I68:L73,3,0)</f>
        <v>SQL</v>
      </c>
      <c r="I69" s="6" t="s">
        <v>77</v>
      </c>
      <c r="J69" s="6" t="s">
        <v>81</v>
      </c>
      <c r="K69" s="6" t="s">
        <v>82</v>
      </c>
      <c r="L69" s="6">
        <v>3000</v>
      </c>
      <c r="P69" s="1" t="s">
        <v>83</v>
      </c>
      <c r="Q69" s="1"/>
      <c r="R69" s="1"/>
      <c r="S69" s="1"/>
      <c r="T69" s="1"/>
    </row>
    <row r="70" spans="1:20" x14ac:dyDescent="0.3">
      <c r="I70" s="6" t="s">
        <v>84</v>
      </c>
      <c r="J70" s="6" t="s">
        <v>85</v>
      </c>
      <c r="K70" s="6" t="s">
        <v>86</v>
      </c>
      <c r="L70" s="6">
        <v>5000</v>
      </c>
    </row>
    <row r="71" spans="1:20" x14ac:dyDescent="0.3">
      <c r="I71" s="6" t="s">
        <v>80</v>
      </c>
      <c r="J71" s="6" t="s">
        <v>87</v>
      </c>
      <c r="K71" s="6" t="s">
        <v>88</v>
      </c>
      <c r="L71" s="6">
        <v>4000</v>
      </c>
      <c r="P71" s="2" t="s">
        <v>76</v>
      </c>
      <c r="Q71" s="2" t="s">
        <v>79</v>
      </c>
    </row>
    <row r="72" spans="1:20" x14ac:dyDescent="0.3">
      <c r="I72" s="6" t="s">
        <v>89</v>
      </c>
      <c r="J72" s="6" t="s">
        <v>15</v>
      </c>
      <c r="K72" s="6" t="s">
        <v>90</v>
      </c>
      <c r="L72" s="6">
        <v>6000</v>
      </c>
      <c r="P72" s="2" t="s">
        <v>84</v>
      </c>
      <c r="Q72" s="2">
        <f>VLOOKUP(P72,I68:L73,4,0)</f>
        <v>5000</v>
      </c>
    </row>
    <row r="73" spans="1:20" x14ac:dyDescent="0.3">
      <c r="A73" s="1" t="s">
        <v>91</v>
      </c>
      <c r="B73" s="1"/>
      <c r="C73" s="1"/>
      <c r="I73" s="6" t="s">
        <v>92</v>
      </c>
      <c r="J73" s="6" t="s">
        <v>93</v>
      </c>
      <c r="K73" s="6" t="s">
        <v>94</v>
      </c>
      <c r="L73" s="6">
        <v>4500</v>
      </c>
    </row>
    <row r="74" spans="1:20" x14ac:dyDescent="0.3">
      <c r="A74" s="1"/>
      <c r="B74" s="1"/>
      <c r="C74" s="1"/>
    </row>
    <row r="75" spans="1:20" x14ac:dyDescent="0.3">
      <c r="A75" s="2" t="s">
        <v>76</v>
      </c>
      <c r="B75" s="2" t="s">
        <v>79</v>
      </c>
    </row>
    <row r="76" spans="1:20" x14ac:dyDescent="0.3">
      <c r="A76" s="2" t="s">
        <v>89</v>
      </c>
      <c r="B76" s="2">
        <f>VLOOKUP(A76,I68:L73,4,0)</f>
        <v>6000</v>
      </c>
    </row>
  </sheetData>
  <dataValidations count="8">
    <dataValidation type="list" allowBlank="1" showInputMessage="1" showErrorMessage="1" sqref="A76" xr:uid="{C42CF0D8-4E1E-4744-A6C7-54EE35FC04F9}">
      <formula1>$A$76</formula1>
    </dataValidation>
    <dataValidation type="list" allowBlank="1" showInputMessage="1" showErrorMessage="1" sqref="A69" xr:uid="{DF72B458-01C9-4111-AA58-898DA7B8E656}">
      <formula1>$I$71</formula1>
    </dataValidation>
    <dataValidation type="list" allowBlank="1" showInputMessage="1" showErrorMessage="1" sqref="I69 P72 P67" xr:uid="{BB69BFD6-6636-4C12-8002-072EAD1319AC}">
      <formula1>$I$69:$I$73</formula1>
    </dataValidation>
    <dataValidation type="list" allowBlank="1" showInputMessage="1" showErrorMessage="1" sqref="O17 O4" xr:uid="{897A886C-41A0-4BBC-B120-BAB5BC5DFF49}">
      <formula1>$G$7:$G$14</formula1>
    </dataValidation>
    <dataValidation type="list" allowBlank="1" showInputMessage="1" showErrorMessage="1" sqref="P30" xr:uid="{D7580BB2-F443-4FEA-B452-AD6FE930623F}">
      <formula1>#REF!</formula1>
    </dataValidation>
    <dataValidation type="list" allowBlank="1" showInputMessage="1" showErrorMessage="1" sqref="G34:G39" xr:uid="{58DD227E-3770-459E-BE3B-6F07099D69B2}">
      <formula1>$G$34:$G$39</formula1>
    </dataValidation>
    <dataValidation type="list" allowBlank="1" showInputMessage="1" showErrorMessage="1" sqref="P39" xr:uid="{257CD1F5-1280-4DE6-9853-D56950C31EA0}">
      <formula1>$G$35:$G$39</formula1>
    </dataValidation>
    <dataValidation type="list" allowBlank="1" showInputMessage="1" showErrorMessage="1" sqref="Q49 Q55" xr:uid="{A62E560D-CA55-4DC9-8149-80C4B180236C}">
      <formula1>$I$53:$M$53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Assignment_Vlookup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 Anand</dc:creator>
  <cp:lastModifiedBy>Aman Anand</cp:lastModifiedBy>
  <dcterms:created xsi:type="dcterms:W3CDTF">2026-05-22T08:01:47Z</dcterms:created>
  <dcterms:modified xsi:type="dcterms:W3CDTF">2026-05-23T10:55:37Z</dcterms:modified>
</cp:coreProperties>
</file>