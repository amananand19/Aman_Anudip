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ourses\Anudip\Lab\"/>
    </mc:Choice>
  </mc:AlternateContent>
  <xr:revisionPtr revIDLastSave="0" documentId="13_ncr:1_{6825CCFD-5C73-421E-9EC2-5283BD4E007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F Statement La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1" l="1"/>
  <c r="K9" i="1"/>
  <c r="J9" i="1"/>
  <c r="I9" i="1"/>
  <c r="H9" i="1"/>
  <c r="G9" i="1"/>
  <c r="F9" i="1"/>
  <c r="E9" i="1"/>
  <c r="L8" i="1"/>
  <c r="K8" i="1"/>
  <c r="J8" i="1"/>
  <c r="I8" i="1"/>
  <c r="H8" i="1"/>
  <c r="G8" i="1"/>
  <c r="F8" i="1"/>
  <c r="E8" i="1"/>
  <c r="L7" i="1"/>
  <c r="K7" i="1"/>
  <c r="J7" i="1"/>
  <c r="I7" i="1"/>
  <c r="H7" i="1"/>
  <c r="G7" i="1"/>
  <c r="F7" i="1"/>
  <c r="E7" i="1"/>
  <c r="L6" i="1"/>
  <c r="K6" i="1"/>
  <c r="J6" i="1"/>
  <c r="I6" i="1"/>
  <c r="H6" i="1"/>
  <c r="G6" i="1"/>
  <c r="F6" i="1"/>
  <c r="E6" i="1"/>
  <c r="L5" i="1"/>
  <c r="K5" i="1"/>
  <c r="J5" i="1"/>
  <c r="I5" i="1"/>
  <c r="H5" i="1"/>
  <c r="G5" i="1"/>
  <c r="F5" i="1"/>
  <c r="E5" i="1"/>
  <c r="L4" i="1"/>
  <c r="K4" i="1"/>
  <c r="J4" i="1"/>
  <c r="I4" i="1"/>
  <c r="H4" i="1"/>
  <c r="G4" i="1"/>
  <c r="F4" i="1"/>
  <c r="E4" i="1"/>
  <c r="L3" i="1"/>
  <c r="K3" i="1"/>
  <c r="J3" i="1"/>
  <c r="I3" i="1"/>
  <c r="H3" i="1"/>
  <c r="G3" i="1"/>
  <c r="F3" i="1"/>
  <c r="E3" i="1"/>
  <c r="L2" i="1"/>
  <c r="K2" i="1"/>
  <c r="J2" i="1"/>
  <c r="I2" i="1"/>
  <c r="H2" i="1"/>
  <c r="G2" i="1"/>
  <c r="F2" i="1"/>
  <c r="E2" i="1"/>
</calcChain>
</file>

<file path=xl/sharedStrings.xml><?xml version="1.0" encoding="utf-8"?>
<sst xmlns="http://schemas.openxmlformats.org/spreadsheetml/2006/main" count="36" uniqueCount="32">
  <si>
    <t>Product</t>
  </si>
  <si>
    <t>Sales</t>
  </si>
  <si>
    <t>Target</t>
  </si>
  <si>
    <t>Region</t>
  </si>
  <si>
    <t>Target Met</t>
  </si>
  <si>
    <t>Regional Bonus Eligible</t>
  </si>
  <si>
    <t>Commission Rate</t>
  </si>
  <si>
    <t>Bonus Amount</t>
  </si>
  <si>
    <t>Performance Category</t>
  </si>
  <si>
    <t>Price Tier</t>
  </si>
  <si>
    <t>Year-End Bonus</t>
  </si>
  <si>
    <t>High Performer</t>
  </si>
  <si>
    <t>Laptop</t>
  </si>
  <si>
    <t>North</t>
  </si>
  <si>
    <t>Mouse</t>
  </si>
  <si>
    <t>South</t>
  </si>
  <si>
    <t>Keyboard</t>
  </si>
  <si>
    <t>Monitor</t>
  </si>
  <si>
    <t>East</t>
  </si>
  <si>
    <t>Printer</t>
  </si>
  <si>
    <t>Tablet</t>
  </si>
  <si>
    <t>West</t>
  </si>
  <si>
    <t>Speaker</t>
  </si>
  <si>
    <t>Camera</t>
  </si>
  <si>
    <t>1. Use the IF function to evaluate whether each product met its sales target.</t>
  </si>
  <si>
    <t>2. Use the IF function to determine if a product is eligible for a regional bonus. Products in the "North" region with sales over 200 are eligible.</t>
  </si>
  <si>
    <t>3. Use nested IF functions to assign a commission rate based on sales. Sales &gt;= 200 get a 10% commission, sales &gt;= 150 get a 7% commission, and others get a 5% commission.</t>
  </si>
  <si>
    <t>4. Use the IF function to calculate a bonus amount. If sales met or exceeded the target, the bonus is 10% of the sales; otherwise, it's 5%.</t>
  </si>
  <si>
    <t>5. Use the IF function to categorize sales performance as "Excellent" (&gt;=200), "Good" (&gt;=150), or "Needs Improvement" (&lt;150).</t>
  </si>
  <si>
    <t>6. Use the IF function to assign a price tier based on the sales value. "High" for sales &gt; 200, "Medium" for sales between 100 and 200, and "Low" for sales &lt; 100.</t>
  </si>
  <si>
    <t>7. Use the IF function to calculate the year-end bonus. If sales &gt;= 150 and region is "North", the bonus is $500, otherwise, it's $300.</t>
  </si>
  <si>
    <t>8. Use the IF function to mark high performers. A product is a high performer if its sales are in the top 25% of all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</si>
</sst>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9"/>
      <color rgb="FF2125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tabSelected="1" workbookViewId="0">
      <selection activeCell="H7" sqref="H7"/>
    </sheetView>
  </sheetViews>
  <sheetFormatPr defaultRowHeight="14.4" x14ac:dyDescent="0.3"/>
  <cols>
    <col min="1" max="1" width="8.6640625" bestFit="1" customWidth="1"/>
    <col min="2" max="2" width="5.21875" bestFit="1" customWidth="1"/>
    <col min="3" max="3" width="6.33203125" bestFit="1" customWidth="1"/>
    <col min="4" max="4" width="6.77734375" bestFit="1" customWidth="1"/>
    <col min="5" max="5" width="10.21875" bestFit="1" customWidth="1"/>
    <col min="6" max="6" width="20.44140625" bestFit="1" customWidth="1"/>
    <col min="7" max="7" width="15.5546875" bestFit="1" customWidth="1"/>
    <col min="8" max="8" width="13.6640625" bestFit="1" customWidth="1"/>
    <col min="9" max="9" width="20.109375" bestFit="1" customWidth="1"/>
    <col min="10" max="10" width="8.6640625" bestFit="1" customWidth="1"/>
    <col min="11" max="11" width="14.33203125" bestFit="1" customWidth="1"/>
    <col min="12" max="12" width="13.8867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>
        <v>250</v>
      </c>
      <c r="C2">
        <v>200</v>
      </c>
      <c r="D2" t="s">
        <v>13</v>
      </c>
      <c r="E2" t="str">
        <f t="shared" ref="E2:E9" si="0">IF(B2&gt;=C2,"Yes","No")</f>
        <v>Yes</v>
      </c>
      <c r="F2" t="str">
        <f t="shared" ref="F2:F9" si="1">IF(AND(D2="North",B2&gt;200),"Eligible","Not Eligible")</f>
        <v>Eligible</v>
      </c>
      <c r="G2" t="str">
        <f t="shared" ref="G2:G9" si="2">IF(B2&gt;=200,"10%",IF(B2&gt;=150,"7%","5%"))</f>
        <v>10%</v>
      </c>
      <c r="H2">
        <f t="shared" ref="H2:H9" si="3">IF(B2&gt;=C2,B2*10%,B2*5%)</f>
        <v>25</v>
      </c>
      <c r="I2" t="str">
        <f t="shared" ref="I2:I9" si="4">IF(B2&gt;=200,"Excellent",IF(B2&gt;=150,"Good","Needs Improvement"))</f>
        <v>Excellent</v>
      </c>
      <c r="J2" t="str">
        <f t="shared" ref="J2:J9" si="5">IF(B2&gt;200,"High",IF(B2&gt;=100,"Medium","Low"))</f>
        <v>High</v>
      </c>
      <c r="K2">
        <f t="shared" ref="K2:K9" si="6">IF(AND(B2&gt;=150,D2="North"),500,300)</f>
        <v>500</v>
      </c>
      <c r="L2" t="str">
        <f t="shared" ref="L2:L9" si="7">IF(B2&gt;=PERCENTILE($B$2:$B$9,0.75),"High Performer","Normal")</f>
        <v>High Performer</v>
      </c>
    </row>
    <row r="3" spans="1:12" x14ac:dyDescent="0.3">
      <c r="A3" t="s">
        <v>14</v>
      </c>
      <c r="B3">
        <v>120</v>
      </c>
      <c r="C3">
        <v>150</v>
      </c>
      <c r="D3" t="s">
        <v>15</v>
      </c>
      <c r="E3" t="str">
        <f t="shared" si="0"/>
        <v>No</v>
      </c>
      <c r="F3" t="str">
        <f t="shared" si="1"/>
        <v>Not Eligible</v>
      </c>
      <c r="G3" t="str">
        <f t="shared" si="2"/>
        <v>5%</v>
      </c>
      <c r="H3">
        <f t="shared" si="3"/>
        <v>6</v>
      </c>
      <c r="I3" t="str">
        <f t="shared" si="4"/>
        <v>Needs Improvement</v>
      </c>
      <c r="J3" t="str">
        <f t="shared" si="5"/>
        <v>Medium</v>
      </c>
      <c r="K3">
        <f t="shared" si="6"/>
        <v>300</v>
      </c>
      <c r="L3" t="str">
        <f t="shared" si="7"/>
        <v>Normal</v>
      </c>
    </row>
    <row r="4" spans="1:12" x14ac:dyDescent="0.3">
      <c r="A4" t="s">
        <v>16</v>
      </c>
      <c r="B4">
        <v>180</v>
      </c>
      <c r="C4">
        <v>170</v>
      </c>
      <c r="D4" t="s">
        <v>13</v>
      </c>
      <c r="E4" t="str">
        <f t="shared" si="0"/>
        <v>Yes</v>
      </c>
      <c r="F4" t="str">
        <f t="shared" si="1"/>
        <v>Not Eligible</v>
      </c>
      <c r="G4" t="str">
        <f t="shared" si="2"/>
        <v>7%</v>
      </c>
      <c r="H4">
        <f t="shared" si="3"/>
        <v>18</v>
      </c>
      <c r="I4" t="str">
        <f t="shared" si="4"/>
        <v>Good</v>
      </c>
      <c r="J4" t="str">
        <f t="shared" si="5"/>
        <v>Medium</v>
      </c>
      <c r="K4">
        <f t="shared" si="6"/>
        <v>500</v>
      </c>
      <c r="L4" t="str">
        <f t="shared" si="7"/>
        <v>Normal</v>
      </c>
    </row>
    <row r="5" spans="1:12" x14ac:dyDescent="0.3">
      <c r="A5" t="s">
        <v>17</v>
      </c>
      <c r="B5">
        <v>90</v>
      </c>
      <c r="C5">
        <v>100</v>
      </c>
      <c r="D5" t="s">
        <v>18</v>
      </c>
      <c r="E5" t="str">
        <f t="shared" si="0"/>
        <v>No</v>
      </c>
      <c r="F5" t="str">
        <f t="shared" si="1"/>
        <v>Not Eligible</v>
      </c>
      <c r="G5" t="str">
        <f t="shared" si="2"/>
        <v>5%</v>
      </c>
      <c r="H5">
        <f t="shared" si="3"/>
        <v>4.5</v>
      </c>
      <c r="I5" t="str">
        <f t="shared" si="4"/>
        <v>Needs Improvement</v>
      </c>
      <c r="J5" t="str">
        <f t="shared" si="5"/>
        <v>Low</v>
      </c>
      <c r="K5">
        <f t="shared" si="6"/>
        <v>300</v>
      </c>
      <c r="L5" t="str">
        <f t="shared" si="7"/>
        <v>Normal</v>
      </c>
    </row>
    <row r="6" spans="1:12" x14ac:dyDescent="0.3">
      <c r="A6" t="s">
        <v>19</v>
      </c>
      <c r="B6">
        <v>300</v>
      </c>
      <c r="C6">
        <v>250</v>
      </c>
      <c r="D6" t="s">
        <v>13</v>
      </c>
      <c r="E6" t="str">
        <f t="shared" si="0"/>
        <v>Yes</v>
      </c>
      <c r="F6" t="str">
        <f t="shared" si="1"/>
        <v>Eligible</v>
      </c>
      <c r="G6" t="str">
        <f t="shared" si="2"/>
        <v>10%</v>
      </c>
      <c r="H6">
        <f t="shared" si="3"/>
        <v>30</v>
      </c>
      <c r="I6" t="str">
        <f t="shared" si="4"/>
        <v>Excellent</v>
      </c>
      <c r="J6" t="str">
        <f t="shared" si="5"/>
        <v>High</v>
      </c>
      <c r="K6">
        <f t="shared" si="6"/>
        <v>500</v>
      </c>
      <c r="L6" t="str">
        <f t="shared" si="7"/>
        <v>High Performer</v>
      </c>
    </row>
    <row r="7" spans="1:12" x14ac:dyDescent="0.3">
      <c r="A7" t="s">
        <v>20</v>
      </c>
      <c r="B7">
        <v>160</v>
      </c>
      <c r="C7">
        <v>150</v>
      </c>
      <c r="D7" t="s">
        <v>21</v>
      </c>
      <c r="E7" t="str">
        <f t="shared" si="0"/>
        <v>Yes</v>
      </c>
      <c r="F7" t="str">
        <f t="shared" si="1"/>
        <v>Not Eligible</v>
      </c>
      <c r="G7" t="str">
        <f t="shared" si="2"/>
        <v>7%</v>
      </c>
      <c r="H7">
        <f t="shared" si="3"/>
        <v>16</v>
      </c>
      <c r="I7" t="str">
        <f t="shared" si="4"/>
        <v>Good</v>
      </c>
      <c r="J7" t="str">
        <f t="shared" si="5"/>
        <v>Medium</v>
      </c>
      <c r="K7">
        <f t="shared" si="6"/>
        <v>300</v>
      </c>
      <c r="L7" t="str">
        <f t="shared" si="7"/>
        <v>Normal</v>
      </c>
    </row>
    <row r="8" spans="1:12" x14ac:dyDescent="0.3">
      <c r="A8" t="s">
        <v>22</v>
      </c>
      <c r="B8">
        <v>75</v>
      </c>
      <c r="C8">
        <v>80</v>
      </c>
      <c r="D8" t="s">
        <v>15</v>
      </c>
      <c r="E8" t="str">
        <f t="shared" si="0"/>
        <v>No</v>
      </c>
      <c r="F8" t="str">
        <f t="shared" si="1"/>
        <v>Not Eligible</v>
      </c>
      <c r="G8" t="str">
        <f t="shared" si="2"/>
        <v>5%</v>
      </c>
      <c r="H8">
        <f t="shared" si="3"/>
        <v>3.75</v>
      </c>
      <c r="I8" t="str">
        <f t="shared" si="4"/>
        <v>Needs Improvement</v>
      </c>
      <c r="J8" t="str">
        <f t="shared" si="5"/>
        <v>Low</v>
      </c>
      <c r="K8">
        <f t="shared" si="6"/>
        <v>300</v>
      </c>
      <c r="L8" t="str">
        <f t="shared" si="7"/>
        <v>Normal</v>
      </c>
    </row>
    <row r="9" spans="1:12" x14ac:dyDescent="0.3">
      <c r="A9" t="s">
        <v>23</v>
      </c>
      <c r="B9">
        <v>220</v>
      </c>
      <c r="C9">
        <v>200</v>
      </c>
      <c r="D9" t="s">
        <v>13</v>
      </c>
      <c r="E9" t="str">
        <f t="shared" si="0"/>
        <v>Yes</v>
      </c>
      <c r="F9" t="str">
        <f t="shared" si="1"/>
        <v>Eligible</v>
      </c>
      <c r="G9" t="str">
        <f t="shared" si="2"/>
        <v>10%</v>
      </c>
      <c r="H9">
        <f t="shared" si="3"/>
        <v>22</v>
      </c>
      <c r="I9" t="str">
        <f t="shared" si="4"/>
        <v>Excellent</v>
      </c>
      <c r="J9" t="str">
        <f t="shared" si="5"/>
        <v>High</v>
      </c>
      <c r="K9">
        <f t="shared" si="6"/>
        <v>500</v>
      </c>
      <c r="L9" t="str">
        <f t="shared" si="7"/>
        <v>Normal</v>
      </c>
    </row>
    <row r="15" spans="1:12" x14ac:dyDescent="0.3">
      <c r="I15" t="s">
        <v>24</v>
      </c>
    </row>
    <row r="16" spans="1:12" x14ac:dyDescent="0.3">
      <c r="I16" s="3" t="s">
        <v>25</v>
      </c>
    </row>
    <row r="17" spans="9:17" x14ac:dyDescent="0.3">
      <c r="I17" s="3" t="s">
        <v>26</v>
      </c>
      <c r="K17" s="2"/>
      <c r="M17" s="2"/>
      <c r="O17" s="2"/>
      <c r="Q17" s="2"/>
    </row>
    <row r="18" spans="9:17" x14ac:dyDescent="0.3">
      <c r="I18" t="s">
        <v>27</v>
      </c>
    </row>
    <row r="19" spans="9:17" x14ac:dyDescent="0.3">
      <c r="I19" s="3" t="s">
        <v>28</v>
      </c>
    </row>
    <row r="20" spans="9:17" x14ac:dyDescent="0.3">
      <c r="I20" s="3" t="s">
        <v>29</v>
      </c>
    </row>
    <row r="21" spans="9:17" x14ac:dyDescent="0.3">
      <c r="I21" s="3" t="s">
        <v>30</v>
      </c>
    </row>
    <row r="22" spans="9:17" x14ac:dyDescent="0.3">
      <c r="I22" s="3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Statement 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 Anand</cp:lastModifiedBy>
  <dcterms:created xsi:type="dcterms:W3CDTF">2026-05-19T04:36:13Z</dcterms:created>
  <dcterms:modified xsi:type="dcterms:W3CDTF">2026-05-19T05:20:02Z</dcterms:modified>
</cp:coreProperties>
</file>