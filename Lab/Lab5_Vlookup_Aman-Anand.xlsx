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urses\Anudip\Lab\"/>
    </mc:Choice>
  </mc:AlternateContent>
  <xr:revisionPtr revIDLastSave="0" documentId="13_ncr:1_{6A34D0A6-7734-466C-A9F0-07B41D2BC08E}" xr6:coauthVersionLast="47" xr6:coauthVersionMax="47" xr10:uidLastSave="{00000000-0000-0000-0000-000000000000}"/>
  <bookViews>
    <workbookView xWindow="-108" yWindow="-108" windowWidth="23256" windowHeight="13176" activeTab="1" xr2:uid="{7D5CE12F-1C85-4F7F-8631-C0432742B7F4}"/>
  </bookViews>
  <sheets>
    <sheet name="Products" sheetId="1" r:id="rId1"/>
    <sheet name="Ord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5" i="2" l="1"/>
  <c r="P46" i="2"/>
  <c r="P47" i="2"/>
  <c r="P48" i="2"/>
  <c r="P49" i="2"/>
  <c r="P50" i="2"/>
  <c r="P51" i="2"/>
  <c r="P45" i="2"/>
  <c r="O51" i="2"/>
  <c r="N50" i="2"/>
  <c r="O50" i="2" s="1"/>
  <c r="N49" i="2"/>
  <c r="O49" i="2" s="1"/>
  <c r="N48" i="2"/>
  <c r="O48" i="2" s="1"/>
  <c r="N47" i="2"/>
  <c r="O47" i="2" s="1"/>
  <c r="N46" i="2"/>
  <c r="O46" i="2" s="1"/>
  <c r="N45" i="2"/>
  <c r="O45" i="2" s="1"/>
  <c r="O36" i="2"/>
  <c r="P36" i="2" s="1"/>
  <c r="N35" i="2"/>
  <c r="O35" i="2" s="1"/>
  <c r="P35" i="2" s="1"/>
  <c r="N34" i="2"/>
  <c r="O34" i="2" s="1"/>
  <c r="P34" i="2" s="1"/>
  <c r="N33" i="2"/>
  <c r="O33" i="2" s="1"/>
  <c r="P33" i="2" s="1"/>
  <c r="N32" i="2"/>
  <c r="O32" i="2" s="1"/>
  <c r="P32" i="2" s="1"/>
  <c r="N31" i="2"/>
  <c r="O31" i="2" s="1"/>
  <c r="P31" i="2" s="1"/>
  <c r="N30" i="2"/>
  <c r="O30" i="2" s="1"/>
  <c r="P30" i="2" s="1"/>
  <c r="D37" i="2"/>
  <c r="D36" i="2"/>
  <c r="D35" i="2"/>
  <c r="D34" i="2"/>
  <c r="D33" i="2"/>
  <c r="D32" i="2"/>
  <c r="D31" i="2"/>
  <c r="O22" i="2"/>
  <c r="N21" i="2"/>
  <c r="O21" i="2" s="1"/>
  <c r="N20" i="2"/>
  <c r="O20" i="2" s="1"/>
  <c r="N19" i="2"/>
  <c r="O19" i="2" s="1"/>
  <c r="N18" i="2"/>
  <c r="O18" i="2" s="1"/>
  <c r="N17" i="2"/>
  <c r="O17" i="2" s="1"/>
  <c r="N16" i="2"/>
  <c r="O16" i="2" s="1"/>
  <c r="D65" i="2" l="1"/>
  <c r="E64" i="2"/>
  <c r="F64" i="2" s="1"/>
  <c r="D64" i="2"/>
  <c r="E63" i="2"/>
  <c r="F63" i="2" s="1"/>
  <c r="D63" i="2"/>
  <c r="K62" i="2" s="1"/>
  <c r="E62" i="2"/>
  <c r="F62" i="2" s="1"/>
  <c r="D62" i="2"/>
  <c r="E61" i="2"/>
  <c r="F61" i="2" s="1"/>
  <c r="D61" i="2"/>
  <c r="E60" i="2"/>
  <c r="F60" i="2" s="1"/>
  <c r="D60" i="2"/>
  <c r="E59" i="2"/>
  <c r="F59" i="2" s="1"/>
  <c r="D59" i="2"/>
  <c r="E51" i="2"/>
  <c r="F51" i="2" s="1"/>
  <c r="D50" i="2"/>
  <c r="E50" i="2" s="1"/>
  <c r="F50" i="2" s="1"/>
  <c r="D49" i="2"/>
  <c r="E49" i="2" s="1"/>
  <c r="F49" i="2" s="1"/>
  <c r="D48" i="2"/>
  <c r="E48" i="2" s="1"/>
  <c r="F48" i="2" s="1"/>
  <c r="D47" i="2"/>
  <c r="E47" i="2" s="1"/>
  <c r="F47" i="2" s="1"/>
  <c r="D46" i="2"/>
  <c r="E46" i="2" s="1"/>
  <c r="F46" i="2" s="1"/>
  <c r="D45" i="2"/>
  <c r="E45" i="2" s="1"/>
  <c r="D21" i="2"/>
  <c r="D20" i="2"/>
  <c r="D19" i="2"/>
  <c r="D18" i="2"/>
  <c r="D17" i="2"/>
  <c r="D16" i="2"/>
  <c r="F8" i="2"/>
  <c r="E2" i="2"/>
  <c r="F2" i="2" s="1"/>
  <c r="E3" i="2"/>
  <c r="F3" i="2" s="1"/>
  <c r="E4" i="2"/>
  <c r="F4" i="2" s="1"/>
  <c r="E5" i="2"/>
  <c r="F5" i="2" s="1"/>
  <c r="E6" i="2"/>
  <c r="F6" i="2" s="1"/>
  <c r="E7" i="2"/>
  <c r="F7" i="2" s="1"/>
  <c r="D2" i="2"/>
  <c r="D3" i="2"/>
  <c r="D4" i="2"/>
  <c r="D5" i="2"/>
  <c r="D6" i="2"/>
  <c r="D7" i="2"/>
  <c r="F45" i="2" l="1"/>
</calcChain>
</file>

<file path=xl/sharedStrings.xml><?xml version="1.0" encoding="utf-8"?>
<sst xmlns="http://schemas.openxmlformats.org/spreadsheetml/2006/main" count="74" uniqueCount="33">
  <si>
    <t>Product ID</t>
  </si>
  <si>
    <t>Price</t>
  </si>
  <si>
    <t>Product A</t>
  </si>
  <si>
    <t>Product B</t>
  </si>
  <si>
    <t>Product C</t>
  </si>
  <si>
    <t>Product D</t>
  </si>
  <si>
    <t>Product E</t>
  </si>
  <si>
    <t>Product F</t>
  </si>
  <si>
    <t>Order ID</t>
  </si>
  <si>
    <t>Quantity</t>
  </si>
  <si>
    <t>Total Price</t>
  </si>
  <si>
    <t>1. Use VLOOKUP to find the product names for each</t>
  </si>
  <si>
    <t>ProductID in the Orders worksheet.</t>
  </si>
  <si>
    <t>Product Names</t>
  </si>
  <si>
    <t>Product Name</t>
  </si>
  <si>
    <t>Products exits or not</t>
  </si>
  <si>
    <t>Discount Price</t>
  </si>
  <si>
    <t>Maximum Order Value</t>
  </si>
  <si>
    <t>Product H</t>
  </si>
  <si>
    <t>2. Use VLOOKUP to find the price for each ProductID in the Orders worksheet,</t>
  </si>
  <si>
    <t>then calculate the TotalPrice by multiplying the Quantity by the Product Price.</t>
  </si>
  <si>
    <t>3. Use VLOOKUP to check if there are any ProductIDs in the</t>
  </si>
  <si>
    <t>Orders worksheet that do not exist in the Products worksheet.</t>
  </si>
  <si>
    <t>4. Assume a discount of 10% is given on all products. Use VLOOKUP to</t>
  </si>
  <si>
    <t>find the original price and then calculate the discounted price.</t>
  </si>
  <si>
    <t xml:space="preserve">5. Use VLOOKUP to find the price for each ProductID and then calculate the </t>
  </si>
  <si>
    <t>order value. Find the maximum order value from the list.</t>
  </si>
  <si>
    <t>6. Use VLOOKUP to find out which products from the Products</t>
  </si>
  <si>
    <t>worksheet have not been ordered.</t>
  </si>
  <si>
    <t xml:space="preserve">7. Use VLOOKUP to find the Product name and summarize </t>
  </si>
  <si>
    <t>the total quantity sold for each product.</t>
  </si>
  <si>
    <t>Status</t>
  </si>
  <si>
    <t>Total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</si>
</sst>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5" fillId="0" borderId="0" xfId="0" applyFont="1"/>
    <xf numFmtId="0" fontId="6" fillId="0" borderId="1" xfId="0" applyFont="1" applyBorder="1"/>
    <xf numFmtId="0" fontId="7" fillId="0" borderId="1" xfId="0" applyFont="1" applyBorder="1"/>
    <xf numFmtId="0" fontId="6" fillId="0" borderId="2" xfId="0" applyFont="1" applyBorder="1"/>
    <xf numFmtId="0" fontId="6" fillId="2" borderId="1" xfId="0" applyFont="1" applyFill="1" applyBorder="1"/>
    <xf numFmtId="0" fontId="7" fillId="0" borderId="0" xfId="0" applyFont="1"/>
    <xf numFmtId="0" fontId="7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1E983-03C7-4035-9D12-F126868F78AA}">
  <dimension ref="A5:E15"/>
  <sheetViews>
    <sheetView workbookViewId="0">
      <selection activeCell="B7" sqref="B7"/>
    </sheetView>
  </sheetViews>
  <sheetFormatPr defaultRowHeight="14.4" x14ac:dyDescent="0.3"/>
  <cols>
    <col min="1" max="1" width="10.88671875" bestFit="1" customWidth="1"/>
    <col min="2" max="2" width="14.44140625" bestFit="1" customWidth="1"/>
    <col min="3" max="3" width="5.5546875" bestFit="1" customWidth="1"/>
    <col min="6" max="6" width="10.88671875" bestFit="1" customWidth="1"/>
    <col min="7" max="7" width="15.33203125" bestFit="1" customWidth="1"/>
    <col min="8" max="8" width="5.5546875" bestFit="1" customWidth="1"/>
  </cols>
  <sheetData>
    <row r="5" spans="1:5" ht="15.6" x14ac:dyDescent="0.3">
      <c r="A5" s="3" t="s">
        <v>0</v>
      </c>
      <c r="B5" s="3" t="s">
        <v>13</v>
      </c>
      <c r="C5" s="3" t="s">
        <v>1</v>
      </c>
    </row>
    <row r="6" spans="1:5" ht="15.6" x14ac:dyDescent="0.3">
      <c r="A6" s="3">
        <v>101</v>
      </c>
      <c r="B6" s="3" t="s">
        <v>2</v>
      </c>
      <c r="C6" s="3">
        <v>120</v>
      </c>
    </row>
    <row r="7" spans="1:5" ht="15.6" x14ac:dyDescent="0.3">
      <c r="A7" s="3">
        <v>102</v>
      </c>
      <c r="B7" s="3" t="s">
        <v>3</v>
      </c>
      <c r="C7" s="3">
        <v>150</v>
      </c>
    </row>
    <row r="8" spans="1:5" ht="15.6" x14ac:dyDescent="0.3">
      <c r="A8" s="3">
        <v>103</v>
      </c>
      <c r="B8" s="3" t="s">
        <v>4</v>
      </c>
      <c r="C8" s="3">
        <v>200</v>
      </c>
    </row>
    <row r="9" spans="1:5" ht="15.6" x14ac:dyDescent="0.3">
      <c r="A9" s="3">
        <v>104</v>
      </c>
      <c r="B9" s="3" t="s">
        <v>5</v>
      </c>
      <c r="C9" s="3">
        <v>90</v>
      </c>
    </row>
    <row r="10" spans="1:5" ht="15.6" x14ac:dyDescent="0.3">
      <c r="A10" s="3">
        <v>105</v>
      </c>
      <c r="B10" s="3" t="s">
        <v>6</v>
      </c>
      <c r="C10" s="3">
        <v>220</v>
      </c>
    </row>
    <row r="11" spans="1:5" ht="15.6" x14ac:dyDescent="0.3">
      <c r="A11" s="3">
        <v>106</v>
      </c>
      <c r="B11" s="3" t="s">
        <v>7</v>
      </c>
      <c r="C11" s="3">
        <v>130</v>
      </c>
    </row>
    <row r="14" spans="1:5" ht="15.6" x14ac:dyDescent="0.3">
      <c r="A14" s="1" t="s">
        <v>11</v>
      </c>
      <c r="B14" s="1"/>
      <c r="C14" s="1"/>
      <c r="D14" s="1"/>
      <c r="E14" s="1"/>
    </row>
    <row r="15" spans="1:5" ht="15.6" x14ac:dyDescent="0.3">
      <c r="A15" s="2" t="s">
        <v>12</v>
      </c>
      <c r="B15" s="2"/>
      <c r="C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26119-5AA1-4627-BE6D-3EA72182A3A5}">
  <dimension ref="A1:V65"/>
  <sheetViews>
    <sheetView tabSelected="1" workbookViewId="0">
      <selection activeCell="I64" sqref="I64"/>
    </sheetView>
  </sheetViews>
  <sheetFormatPr defaultRowHeight="14.4" x14ac:dyDescent="0.3"/>
  <cols>
    <col min="1" max="1" width="9" bestFit="1" customWidth="1"/>
    <col min="2" max="2" width="10.88671875" bestFit="1" customWidth="1"/>
    <col min="3" max="3" width="9.21875" bestFit="1" customWidth="1"/>
    <col min="4" max="4" width="14.44140625" bestFit="1" customWidth="1"/>
    <col min="5" max="5" width="5.5546875" bestFit="1" customWidth="1"/>
    <col min="6" max="6" width="10.88671875" bestFit="1" customWidth="1"/>
    <col min="7" max="7" width="22.5546875" bestFit="1" customWidth="1"/>
    <col min="8" max="9" width="9" bestFit="1" customWidth="1"/>
    <col min="10" max="10" width="14.44140625" bestFit="1" customWidth="1"/>
    <col min="11" max="11" width="9.109375" bestFit="1" customWidth="1"/>
    <col min="12" max="12" width="10.88671875" bestFit="1" customWidth="1"/>
    <col min="13" max="13" width="9.21875" bestFit="1" customWidth="1"/>
    <col min="14" max="14" width="5.5546875" bestFit="1" customWidth="1"/>
    <col min="15" max="15" width="10.88671875" bestFit="1" customWidth="1"/>
    <col min="16" max="16" width="14.44140625" bestFit="1" customWidth="1"/>
    <col min="17" max="17" width="20.6640625" bestFit="1" customWidth="1"/>
    <col min="18" max="18" width="14.44140625" bestFit="1" customWidth="1"/>
    <col min="19" max="20" width="22.5546875" bestFit="1" customWidth="1"/>
  </cols>
  <sheetData>
    <row r="1" spans="1:22" ht="15.6" x14ac:dyDescent="0.3">
      <c r="A1" s="9" t="s">
        <v>8</v>
      </c>
      <c r="B1" s="9" t="s">
        <v>0</v>
      </c>
      <c r="C1" s="9" t="s">
        <v>9</v>
      </c>
      <c r="D1" s="9" t="s">
        <v>14</v>
      </c>
      <c r="E1" s="9" t="s">
        <v>1</v>
      </c>
      <c r="F1" s="9" t="s">
        <v>10</v>
      </c>
    </row>
    <row r="2" spans="1:22" ht="15.6" x14ac:dyDescent="0.3">
      <c r="A2" s="6">
        <v>1</v>
      </c>
      <c r="B2" s="6">
        <v>101</v>
      </c>
      <c r="C2" s="6">
        <v>2</v>
      </c>
      <c r="D2" s="6" t="str">
        <f>VLOOKUP(B2,Products!$A$5:$C$11,2,0)</f>
        <v>Product A</v>
      </c>
      <c r="E2" s="7">
        <f>VLOOKUP(B2,Products!$A$5:$C$11,3,0)</f>
        <v>120</v>
      </c>
      <c r="F2" s="7">
        <f>C2*E2</f>
        <v>240</v>
      </c>
    </row>
    <row r="3" spans="1:22" ht="15.6" x14ac:dyDescent="0.3">
      <c r="A3" s="6">
        <v>2</v>
      </c>
      <c r="B3" s="6">
        <v>103</v>
      </c>
      <c r="C3" s="6">
        <v>1</v>
      </c>
      <c r="D3" s="6" t="str">
        <f>VLOOKUP(B3,Products!$A$5:$C$11,2,0)</f>
        <v>Product C</v>
      </c>
      <c r="E3" s="7">
        <f>VLOOKUP(B3,Products!$A$5:$C$11,3,0)</f>
        <v>200</v>
      </c>
      <c r="F3" s="7">
        <f t="shared" ref="F3:F8" si="0">C3*E3</f>
        <v>200</v>
      </c>
    </row>
    <row r="4" spans="1:22" ht="15.6" x14ac:dyDescent="0.3">
      <c r="A4" s="6">
        <v>3</v>
      </c>
      <c r="B4" s="6">
        <v>105</v>
      </c>
      <c r="C4" s="6">
        <v>4</v>
      </c>
      <c r="D4" s="6" t="str">
        <f>VLOOKUP(B4,Products!$A$5:$C$11,2,0)</f>
        <v>Product E</v>
      </c>
      <c r="E4" s="7">
        <f>VLOOKUP(B4,Products!$A$5:$C$11,3,0)</f>
        <v>220</v>
      </c>
      <c r="F4" s="7">
        <f t="shared" si="0"/>
        <v>880</v>
      </c>
    </row>
    <row r="5" spans="1:22" ht="15.6" x14ac:dyDescent="0.3">
      <c r="A5" s="6">
        <v>4</v>
      </c>
      <c r="B5" s="6">
        <v>106</v>
      </c>
      <c r="C5" s="6">
        <v>3</v>
      </c>
      <c r="D5" s="6" t="str">
        <f>VLOOKUP(B5,Products!$A$5:$C$11,2,0)</f>
        <v>Product F</v>
      </c>
      <c r="E5" s="7">
        <f>VLOOKUP(B5,Products!$A$5:$C$11,3,0)</f>
        <v>130</v>
      </c>
      <c r="F5" s="7">
        <f t="shared" si="0"/>
        <v>390</v>
      </c>
    </row>
    <row r="6" spans="1:22" ht="15.6" x14ac:dyDescent="0.3">
      <c r="A6" s="6">
        <v>5</v>
      </c>
      <c r="B6" s="6">
        <v>102</v>
      </c>
      <c r="C6" s="6">
        <v>5</v>
      </c>
      <c r="D6" s="6" t="str">
        <f>VLOOKUP(B6,Products!$A$5:$C$11,2,0)</f>
        <v>Product B</v>
      </c>
      <c r="E6" s="7">
        <f>VLOOKUP(B6,Products!$A$5:$C$11,3,0)</f>
        <v>150</v>
      </c>
      <c r="F6" s="7">
        <f t="shared" si="0"/>
        <v>750</v>
      </c>
    </row>
    <row r="7" spans="1:22" ht="15.6" x14ac:dyDescent="0.3">
      <c r="A7" s="6">
        <v>6</v>
      </c>
      <c r="B7" s="6">
        <v>104</v>
      </c>
      <c r="C7" s="6">
        <v>6</v>
      </c>
      <c r="D7" s="6" t="str">
        <f>VLOOKUP(B7,Products!$A$5:$C$11,2,0)</f>
        <v>Product D</v>
      </c>
      <c r="E7" s="7">
        <f>VLOOKUP(B7,Products!$A$5:$C$11,3,0)</f>
        <v>90</v>
      </c>
      <c r="F7" s="7">
        <f t="shared" si="0"/>
        <v>540</v>
      </c>
    </row>
    <row r="8" spans="1:22" ht="15.6" x14ac:dyDescent="0.3">
      <c r="A8" s="6">
        <v>7</v>
      </c>
      <c r="B8" s="6">
        <v>107</v>
      </c>
      <c r="C8" s="6">
        <v>7</v>
      </c>
      <c r="D8" s="6" t="s">
        <v>18</v>
      </c>
      <c r="E8" s="7">
        <v>150</v>
      </c>
      <c r="F8" s="7">
        <f t="shared" si="0"/>
        <v>1050</v>
      </c>
    </row>
    <row r="9" spans="1:22" x14ac:dyDescent="0.3">
      <c r="E9" s="4"/>
    </row>
    <row r="11" spans="1:22" ht="15.6" x14ac:dyDescent="0.3">
      <c r="A11" s="1" t="s">
        <v>11</v>
      </c>
      <c r="B11" s="1"/>
      <c r="C11" s="1"/>
      <c r="D11" s="1"/>
      <c r="E11" s="1"/>
      <c r="G11" s="5"/>
      <c r="K11" s="2" t="s">
        <v>19</v>
      </c>
      <c r="L11" s="2"/>
      <c r="M11" s="2"/>
      <c r="N11" s="2"/>
      <c r="O11" s="2"/>
      <c r="P11" s="2"/>
      <c r="Q11" s="2"/>
      <c r="U11" s="2"/>
      <c r="V11" s="2"/>
    </row>
    <row r="12" spans="1:22" ht="15.6" x14ac:dyDescent="0.3">
      <c r="A12" s="2" t="s">
        <v>12</v>
      </c>
      <c r="B12" s="2"/>
      <c r="C12" s="2"/>
      <c r="K12" s="2" t="s">
        <v>20</v>
      </c>
      <c r="L12" s="2"/>
      <c r="M12" s="2"/>
      <c r="N12" s="2"/>
      <c r="O12" s="2"/>
      <c r="P12" s="2"/>
      <c r="Q12" s="2"/>
      <c r="U12" s="2"/>
      <c r="V12" s="2"/>
    </row>
    <row r="15" spans="1:22" ht="15.6" x14ac:dyDescent="0.3">
      <c r="A15" s="9" t="s">
        <v>8</v>
      </c>
      <c r="B15" s="9" t="s">
        <v>0</v>
      </c>
      <c r="C15" s="9" t="s">
        <v>9</v>
      </c>
      <c r="D15" s="9" t="s">
        <v>14</v>
      </c>
      <c r="K15" s="9" t="s">
        <v>8</v>
      </c>
      <c r="L15" s="9" t="s">
        <v>0</v>
      </c>
      <c r="M15" s="9" t="s">
        <v>9</v>
      </c>
      <c r="N15" s="9" t="s">
        <v>1</v>
      </c>
      <c r="O15" s="9" t="s">
        <v>10</v>
      </c>
    </row>
    <row r="16" spans="1:22" ht="15.6" x14ac:dyDescent="0.3">
      <c r="A16" s="6">
        <v>1</v>
      </c>
      <c r="B16" s="6">
        <v>101</v>
      </c>
      <c r="C16" s="6">
        <v>2</v>
      </c>
      <c r="D16" s="6" t="str">
        <f>VLOOKUP(B16,Products!$A$5:$C$11,2,0)</f>
        <v>Product A</v>
      </c>
      <c r="K16" s="6">
        <v>1</v>
      </c>
      <c r="L16" s="6">
        <v>101</v>
      </c>
      <c r="M16" s="6">
        <v>2</v>
      </c>
      <c r="N16" s="7">
        <f>VLOOKUP(L16,Products!$A$5:$C$11,3,0)</f>
        <v>120</v>
      </c>
      <c r="O16" s="7">
        <f t="shared" ref="O16:O22" si="1">M16*N16</f>
        <v>240</v>
      </c>
    </row>
    <row r="17" spans="1:16" ht="15.6" x14ac:dyDescent="0.3">
      <c r="A17" s="6">
        <v>2</v>
      </c>
      <c r="B17" s="6">
        <v>103</v>
      </c>
      <c r="C17" s="6">
        <v>1</v>
      </c>
      <c r="D17" s="6" t="str">
        <f>VLOOKUP(B17,Products!$A$5:$C$11,2,0)</f>
        <v>Product C</v>
      </c>
      <c r="K17" s="6">
        <v>2</v>
      </c>
      <c r="L17" s="6">
        <v>103</v>
      </c>
      <c r="M17" s="6">
        <v>1</v>
      </c>
      <c r="N17" s="7">
        <f>VLOOKUP(L17,Products!$A$5:$C$11,3,0)</f>
        <v>200</v>
      </c>
      <c r="O17" s="7">
        <f t="shared" si="1"/>
        <v>200</v>
      </c>
    </row>
    <row r="18" spans="1:16" ht="15.6" x14ac:dyDescent="0.3">
      <c r="A18" s="6">
        <v>3</v>
      </c>
      <c r="B18" s="6">
        <v>105</v>
      </c>
      <c r="C18" s="6">
        <v>4</v>
      </c>
      <c r="D18" s="6" t="str">
        <f>VLOOKUP(B18,Products!$A$5:$C$11,2,0)</f>
        <v>Product E</v>
      </c>
      <c r="K18" s="6">
        <v>3</v>
      </c>
      <c r="L18" s="6">
        <v>105</v>
      </c>
      <c r="M18" s="6">
        <v>4</v>
      </c>
      <c r="N18" s="7">
        <f>VLOOKUP(L18,Products!$A$5:$C$11,3,0)</f>
        <v>220</v>
      </c>
      <c r="O18" s="7">
        <f t="shared" si="1"/>
        <v>880</v>
      </c>
    </row>
    <row r="19" spans="1:16" ht="15.6" x14ac:dyDescent="0.3">
      <c r="A19" s="6">
        <v>4</v>
      </c>
      <c r="B19" s="6">
        <v>106</v>
      </c>
      <c r="C19" s="6">
        <v>3</v>
      </c>
      <c r="D19" s="6" t="str">
        <f>VLOOKUP(B19,Products!$A$5:$C$11,2,0)</f>
        <v>Product F</v>
      </c>
      <c r="K19" s="6">
        <v>4</v>
      </c>
      <c r="L19" s="6">
        <v>106</v>
      </c>
      <c r="M19" s="6">
        <v>3</v>
      </c>
      <c r="N19" s="7">
        <f>VLOOKUP(L19,Products!$A$5:$C$11,3,0)</f>
        <v>130</v>
      </c>
      <c r="O19" s="7">
        <f t="shared" si="1"/>
        <v>390</v>
      </c>
    </row>
    <row r="20" spans="1:16" ht="15.6" x14ac:dyDescent="0.3">
      <c r="A20" s="6">
        <v>5</v>
      </c>
      <c r="B20" s="6">
        <v>102</v>
      </c>
      <c r="C20" s="6">
        <v>5</v>
      </c>
      <c r="D20" s="6" t="str">
        <f>VLOOKUP(B20,Products!$A$5:$C$11,2,0)</f>
        <v>Product B</v>
      </c>
      <c r="K20" s="6">
        <v>5</v>
      </c>
      <c r="L20" s="6">
        <v>102</v>
      </c>
      <c r="M20" s="6">
        <v>5</v>
      </c>
      <c r="N20" s="7">
        <f>VLOOKUP(L20,Products!$A$5:$C$11,3,0)</f>
        <v>150</v>
      </c>
      <c r="O20" s="7">
        <f t="shared" si="1"/>
        <v>750</v>
      </c>
    </row>
    <row r="21" spans="1:16" ht="15.6" x14ac:dyDescent="0.3">
      <c r="A21" s="6">
        <v>6</v>
      </c>
      <c r="B21" s="6">
        <v>104</v>
      </c>
      <c r="C21" s="6">
        <v>6</v>
      </c>
      <c r="D21" s="6" t="str">
        <f>VLOOKUP(B21,Products!$A$5:$C$11,2,0)</f>
        <v>Product D</v>
      </c>
      <c r="K21" s="6">
        <v>6</v>
      </c>
      <c r="L21" s="6">
        <v>104</v>
      </c>
      <c r="M21" s="6">
        <v>6</v>
      </c>
      <c r="N21" s="7">
        <f>VLOOKUP(L21,Products!$A$5:$C$11,3,0)</f>
        <v>90</v>
      </c>
      <c r="O21" s="7">
        <f t="shared" si="1"/>
        <v>540</v>
      </c>
    </row>
    <row r="22" spans="1:16" ht="15.6" x14ac:dyDescent="0.3">
      <c r="A22" s="6">
        <v>7</v>
      </c>
      <c r="B22" s="6">
        <v>107</v>
      </c>
      <c r="C22" s="6">
        <v>7</v>
      </c>
      <c r="D22" s="6" t="s">
        <v>18</v>
      </c>
      <c r="K22" s="6">
        <v>7</v>
      </c>
      <c r="L22" s="6">
        <v>107</v>
      </c>
      <c r="M22" s="6">
        <v>7</v>
      </c>
      <c r="N22" s="7">
        <v>250</v>
      </c>
      <c r="O22" s="7">
        <f t="shared" si="1"/>
        <v>1750</v>
      </c>
    </row>
    <row r="26" spans="1:16" ht="15.6" x14ac:dyDescent="0.3">
      <c r="A26" s="2" t="s">
        <v>21</v>
      </c>
      <c r="B26" s="2"/>
      <c r="C26" s="2"/>
      <c r="D26" s="2"/>
      <c r="E26" s="2"/>
      <c r="K26" s="2" t="s">
        <v>23</v>
      </c>
      <c r="L26" s="2"/>
      <c r="M26" s="2"/>
      <c r="N26" s="2"/>
      <c r="O26" s="2"/>
      <c r="P26" s="2"/>
    </row>
    <row r="27" spans="1:16" ht="15.6" x14ac:dyDescent="0.3">
      <c r="A27" s="2" t="s">
        <v>22</v>
      </c>
      <c r="B27" s="2"/>
      <c r="C27" s="2"/>
      <c r="D27" s="2"/>
      <c r="E27" s="2"/>
      <c r="K27" s="2" t="s">
        <v>24</v>
      </c>
      <c r="L27" s="2"/>
      <c r="M27" s="2"/>
      <c r="N27" s="2"/>
      <c r="O27" s="2"/>
      <c r="P27" s="2"/>
    </row>
    <row r="29" spans="1:16" ht="15.6" x14ac:dyDescent="0.3">
      <c r="K29" s="9" t="s">
        <v>8</v>
      </c>
      <c r="L29" s="9" t="s">
        <v>0</v>
      </c>
      <c r="M29" s="9" t="s">
        <v>9</v>
      </c>
      <c r="N29" s="9" t="s">
        <v>1</v>
      </c>
      <c r="O29" s="9" t="s">
        <v>10</v>
      </c>
      <c r="P29" s="9" t="s">
        <v>16</v>
      </c>
    </row>
    <row r="30" spans="1:16" ht="15.6" x14ac:dyDescent="0.3">
      <c r="A30" s="9" t="s">
        <v>8</v>
      </c>
      <c r="B30" s="9" t="s">
        <v>0</v>
      </c>
      <c r="C30" s="9" t="s">
        <v>9</v>
      </c>
      <c r="D30" s="9" t="s">
        <v>15</v>
      </c>
      <c r="K30" s="6">
        <v>1</v>
      </c>
      <c r="L30" s="6">
        <v>101</v>
      </c>
      <c r="M30" s="6">
        <v>2</v>
      </c>
      <c r="N30" s="7">
        <f>VLOOKUP(L30,Products!$A$5:$C$11,3,0)</f>
        <v>120</v>
      </c>
      <c r="O30" s="7">
        <f t="shared" ref="O30:O36" si="2">M30*N30</f>
        <v>240</v>
      </c>
      <c r="P30" s="7">
        <f>O30-(O30*10%)</f>
        <v>216</v>
      </c>
    </row>
    <row r="31" spans="1:16" ht="15.6" x14ac:dyDescent="0.3">
      <c r="A31" s="6">
        <v>1</v>
      </c>
      <c r="B31" s="6">
        <v>101</v>
      </c>
      <c r="C31" s="6">
        <v>2</v>
      </c>
      <c r="D31" s="7" t="str">
        <f>IF(ISNA(VLOOKUP(B32,Products!$A$5:$C$11,1,0)),"Not Exist","Exit")</f>
        <v>Exit</v>
      </c>
      <c r="K31" s="6">
        <v>2</v>
      </c>
      <c r="L31" s="6">
        <v>103</v>
      </c>
      <c r="M31" s="6">
        <v>1</v>
      </c>
      <c r="N31" s="7">
        <f>VLOOKUP(L31,Products!$A$5:$C$11,3,0)</f>
        <v>200</v>
      </c>
      <c r="O31" s="7">
        <f t="shared" si="2"/>
        <v>200</v>
      </c>
      <c r="P31" s="7">
        <f t="shared" ref="P31:P36" si="3">O31-(O31*10%)</f>
        <v>180</v>
      </c>
    </row>
    <row r="32" spans="1:16" ht="15.6" x14ac:dyDescent="0.3">
      <c r="A32" s="6">
        <v>2</v>
      </c>
      <c r="B32" s="6">
        <v>103</v>
      </c>
      <c r="C32" s="6">
        <v>1</v>
      </c>
      <c r="D32" s="7" t="str">
        <f>IF(ISNA(VLOOKUP(B32,Products!$A$5:$C$11,1,0)),"Not Exist","Exit")</f>
        <v>Exit</v>
      </c>
      <c r="K32" s="6">
        <v>3</v>
      </c>
      <c r="L32" s="6">
        <v>105</v>
      </c>
      <c r="M32" s="6">
        <v>4</v>
      </c>
      <c r="N32" s="7">
        <f>VLOOKUP(L32,Products!$A$5:$C$11,3,0)</f>
        <v>220</v>
      </c>
      <c r="O32" s="7">
        <f t="shared" si="2"/>
        <v>880</v>
      </c>
      <c r="P32" s="7">
        <f t="shared" si="3"/>
        <v>792</v>
      </c>
    </row>
    <row r="33" spans="1:16" ht="15.6" x14ac:dyDescent="0.3">
      <c r="A33" s="6">
        <v>3</v>
      </c>
      <c r="B33" s="6">
        <v>105</v>
      </c>
      <c r="C33" s="6">
        <v>4</v>
      </c>
      <c r="D33" s="7" t="str">
        <f>IF(ISNA(VLOOKUP(B33,Products!$A$5:$C$11,1,0)),"Not Exist","Exit")</f>
        <v>Exit</v>
      </c>
      <c r="K33" s="6">
        <v>4</v>
      </c>
      <c r="L33" s="6">
        <v>106</v>
      </c>
      <c r="M33" s="6">
        <v>3</v>
      </c>
      <c r="N33" s="7">
        <f>VLOOKUP(L33,Products!$A$5:$C$11,3,0)</f>
        <v>130</v>
      </c>
      <c r="O33" s="7">
        <f t="shared" si="2"/>
        <v>390</v>
      </c>
      <c r="P33" s="7">
        <f t="shared" si="3"/>
        <v>351</v>
      </c>
    </row>
    <row r="34" spans="1:16" ht="15.6" x14ac:dyDescent="0.3">
      <c r="A34" s="6">
        <v>4</v>
      </c>
      <c r="B34" s="6">
        <v>106</v>
      </c>
      <c r="C34" s="6">
        <v>3</v>
      </c>
      <c r="D34" s="7" t="str">
        <f>IF(ISNA(VLOOKUP(B34,Products!$A$5:$C$11,1,0)),"Not Exist","Exit")</f>
        <v>Exit</v>
      </c>
      <c r="K34" s="6">
        <v>5</v>
      </c>
      <c r="L34" s="6">
        <v>102</v>
      </c>
      <c r="M34" s="6">
        <v>5</v>
      </c>
      <c r="N34" s="7">
        <f>VLOOKUP(L34,Products!$A$5:$C$11,3,0)</f>
        <v>150</v>
      </c>
      <c r="O34" s="7">
        <f t="shared" si="2"/>
        <v>750</v>
      </c>
      <c r="P34" s="7">
        <f t="shared" si="3"/>
        <v>675</v>
      </c>
    </row>
    <row r="35" spans="1:16" ht="15.6" x14ac:dyDescent="0.3">
      <c r="A35" s="6">
        <v>5</v>
      </c>
      <c r="B35" s="6">
        <v>102</v>
      </c>
      <c r="C35" s="6">
        <v>5</v>
      </c>
      <c r="D35" s="7" t="str">
        <f>IF(ISNA(VLOOKUP(B35,Products!$A$5:$C$11,1,0)),"Not Exist","Exit")</f>
        <v>Exit</v>
      </c>
      <c r="K35" s="6">
        <v>6</v>
      </c>
      <c r="L35" s="6">
        <v>104</v>
      </c>
      <c r="M35" s="6">
        <v>6</v>
      </c>
      <c r="N35" s="7">
        <f>VLOOKUP(L35,Products!$A$5:$C$11,3,0)</f>
        <v>90</v>
      </c>
      <c r="O35" s="7">
        <f t="shared" si="2"/>
        <v>540</v>
      </c>
      <c r="P35" s="7">
        <f t="shared" si="3"/>
        <v>486</v>
      </c>
    </row>
    <row r="36" spans="1:16" ht="15.6" x14ac:dyDescent="0.3">
      <c r="A36" s="6">
        <v>6</v>
      </c>
      <c r="B36" s="6">
        <v>104</v>
      </c>
      <c r="C36" s="6">
        <v>6</v>
      </c>
      <c r="D36" s="7" t="str">
        <f>IF(ISNA(VLOOKUP(B36,Products!$A$5:$C$11,1,0)),"Not Exist","Exit")</f>
        <v>Exit</v>
      </c>
      <c r="K36" s="6">
        <v>7</v>
      </c>
      <c r="L36" s="6">
        <v>107</v>
      </c>
      <c r="M36" s="6">
        <v>7</v>
      </c>
      <c r="N36" s="7">
        <v>250</v>
      </c>
      <c r="O36" s="7">
        <f t="shared" si="2"/>
        <v>1750</v>
      </c>
      <c r="P36" s="7">
        <f t="shared" si="3"/>
        <v>1575</v>
      </c>
    </row>
    <row r="37" spans="1:16" ht="15.6" x14ac:dyDescent="0.3">
      <c r="A37" s="6">
        <v>7</v>
      </c>
      <c r="B37" s="6">
        <v>107</v>
      </c>
      <c r="C37" s="6">
        <v>7</v>
      </c>
      <c r="D37" s="7" t="str">
        <f>IF(ISNA(VLOOKUP(B37,Products!$A$5:$C$11,1,0)),"Not Exist","Exit")</f>
        <v>Not Exist</v>
      </c>
    </row>
    <row r="41" spans="1:16" ht="15.6" x14ac:dyDescent="0.3">
      <c r="A41" s="2" t="s">
        <v>25</v>
      </c>
      <c r="B41" s="2"/>
      <c r="C41" s="2"/>
      <c r="D41" s="2"/>
      <c r="E41" s="2"/>
      <c r="F41" s="2"/>
      <c r="K41" s="2" t="s">
        <v>27</v>
      </c>
      <c r="L41" s="2"/>
      <c r="M41" s="2"/>
      <c r="N41" s="2"/>
      <c r="O41" s="2"/>
      <c r="P41" s="2"/>
    </row>
    <row r="42" spans="1:16" ht="15.6" x14ac:dyDescent="0.3">
      <c r="A42" s="2" t="s">
        <v>26</v>
      </c>
      <c r="B42" s="2"/>
      <c r="C42" s="2"/>
      <c r="D42" s="2"/>
      <c r="E42" s="2"/>
      <c r="F42" s="2"/>
      <c r="K42" s="2" t="s">
        <v>28</v>
      </c>
      <c r="L42" s="2"/>
      <c r="M42" s="2"/>
      <c r="N42" s="2"/>
      <c r="O42" s="2"/>
      <c r="P42" s="2"/>
    </row>
    <row r="44" spans="1:16" ht="15.6" x14ac:dyDescent="0.3">
      <c r="A44" s="9" t="s">
        <v>8</v>
      </c>
      <c r="B44" s="9" t="s">
        <v>0</v>
      </c>
      <c r="C44" s="9" t="s">
        <v>9</v>
      </c>
      <c r="D44" s="9" t="s">
        <v>1</v>
      </c>
      <c r="E44" s="9" t="s">
        <v>10</v>
      </c>
      <c r="F44" s="9" t="s">
        <v>16</v>
      </c>
      <c r="G44" s="9" t="s">
        <v>17</v>
      </c>
      <c r="K44" s="9" t="s">
        <v>8</v>
      </c>
      <c r="L44" s="9" t="s">
        <v>0</v>
      </c>
      <c r="M44" s="9" t="s">
        <v>9</v>
      </c>
      <c r="N44" s="9" t="s">
        <v>1</v>
      </c>
      <c r="O44" s="9" t="s">
        <v>10</v>
      </c>
      <c r="P44" s="9" t="s">
        <v>31</v>
      </c>
    </row>
    <row r="45" spans="1:16" ht="15.6" x14ac:dyDescent="0.3">
      <c r="A45" s="6">
        <v>1</v>
      </c>
      <c r="B45" s="6">
        <v>101</v>
      </c>
      <c r="C45" s="6">
        <v>2</v>
      </c>
      <c r="D45" s="7">
        <f>VLOOKUP(B45,Products!$A$5:$C$11,3,0)</f>
        <v>120</v>
      </c>
      <c r="E45" s="7">
        <f t="shared" ref="E45:E51" si="4">C45*D45</f>
        <v>240</v>
      </c>
      <c r="F45" s="7">
        <f>E45-(E45*10%)</f>
        <v>216</v>
      </c>
      <c r="G45" s="10">
        <f>MAX(E45:E51)</f>
        <v>1750</v>
      </c>
      <c r="K45" s="6">
        <v>1</v>
      </c>
      <c r="L45" s="6">
        <v>101</v>
      </c>
      <c r="M45" s="6">
        <v>2</v>
      </c>
      <c r="N45" s="7">
        <f>VLOOKUP(L45,Products!$A$5:$C$11,3,0)</f>
        <v>120</v>
      </c>
      <c r="O45" s="7">
        <f t="shared" ref="O45:O51" si="5">M45*N45</f>
        <v>240</v>
      </c>
      <c r="P45" s="7" t="str">
        <f>IF(ISNA(VLOOKUP(L45,Products!$A$5:$C$11,1,0)),"Not Ordered","Ordered")</f>
        <v>Ordered</v>
      </c>
    </row>
    <row r="46" spans="1:16" ht="15.6" x14ac:dyDescent="0.3">
      <c r="A46" s="6">
        <v>2</v>
      </c>
      <c r="B46" s="6">
        <v>103</v>
      </c>
      <c r="C46" s="6">
        <v>1</v>
      </c>
      <c r="D46" s="7">
        <f>VLOOKUP(B46,Products!$A$5:$C$11,3,0)</f>
        <v>200</v>
      </c>
      <c r="E46" s="7">
        <f t="shared" si="4"/>
        <v>200</v>
      </c>
      <c r="F46" s="7">
        <f t="shared" ref="F46:F51" si="6">E46-(E46*10%)</f>
        <v>180</v>
      </c>
      <c r="G46" s="10"/>
      <c r="K46" s="6">
        <v>2</v>
      </c>
      <c r="L46" s="6">
        <v>103</v>
      </c>
      <c r="M46" s="6">
        <v>1</v>
      </c>
      <c r="N46" s="7">
        <f>VLOOKUP(L46,Products!$A$5:$C$11,3,0)</f>
        <v>200</v>
      </c>
      <c r="O46" s="7">
        <f t="shared" si="5"/>
        <v>200</v>
      </c>
      <c r="P46" s="7" t="str">
        <f>IF(ISNA(VLOOKUP(L46,Products!$A$5:$C$11,1,0)),"Not Ordered","Ordered")</f>
        <v>Ordered</v>
      </c>
    </row>
    <row r="47" spans="1:16" ht="15.6" x14ac:dyDescent="0.3">
      <c r="A47" s="6">
        <v>3</v>
      </c>
      <c r="B47" s="6">
        <v>105</v>
      </c>
      <c r="C47" s="6">
        <v>4</v>
      </c>
      <c r="D47" s="7">
        <f>VLOOKUP(B47,Products!$A$5:$C$11,3,0)</f>
        <v>220</v>
      </c>
      <c r="E47" s="7">
        <f t="shared" si="4"/>
        <v>880</v>
      </c>
      <c r="F47" s="7">
        <f t="shared" si="6"/>
        <v>792</v>
      </c>
      <c r="G47" s="10"/>
      <c r="K47" s="6">
        <v>3</v>
      </c>
      <c r="L47" s="6">
        <v>105</v>
      </c>
      <c r="M47" s="6">
        <v>4</v>
      </c>
      <c r="N47" s="7">
        <f>VLOOKUP(L47,Products!$A$5:$C$11,3,0)</f>
        <v>220</v>
      </c>
      <c r="O47" s="7">
        <f t="shared" si="5"/>
        <v>880</v>
      </c>
      <c r="P47" s="7" t="str">
        <f>IF(ISNA(VLOOKUP(L47,Products!$A$5:$C$11,1,0)),"Not Ordered","Ordered")</f>
        <v>Ordered</v>
      </c>
    </row>
    <row r="48" spans="1:16" ht="15.6" x14ac:dyDescent="0.3">
      <c r="A48" s="6">
        <v>4</v>
      </c>
      <c r="B48" s="6">
        <v>106</v>
      </c>
      <c r="C48" s="6">
        <v>3</v>
      </c>
      <c r="D48" s="7">
        <f>VLOOKUP(B48,Products!$A$5:$C$11,3,0)</f>
        <v>130</v>
      </c>
      <c r="E48" s="7">
        <f t="shared" si="4"/>
        <v>390</v>
      </c>
      <c r="F48" s="7">
        <f t="shared" si="6"/>
        <v>351</v>
      </c>
      <c r="G48" s="10"/>
      <c r="K48" s="6">
        <v>4</v>
      </c>
      <c r="L48" s="6">
        <v>106</v>
      </c>
      <c r="M48" s="6">
        <v>3</v>
      </c>
      <c r="N48" s="7">
        <f>VLOOKUP(L48,Products!$A$5:$C$11,3,0)</f>
        <v>130</v>
      </c>
      <c r="O48" s="7">
        <f t="shared" si="5"/>
        <v>390</v>
      </c>
      <c r="P48" s="7" t="str">
        <f>IF(ISNA(VLOOKUP(L48,Products!$A$5:$C$11,1,0)),"Not Ordered","Ordered")</f>
        <v>Ordered</v>
      </c>
    </row>
    <row r="49" spans="1:16" ht="15.6" x14ac:dyDescent="0.3">
      <c r="A49" s="6">
        <v>5</v>
      </c>
      <c r="B49" s="6">
        <v>102</v>
      </c>
      <c r="C49" s="6">
        <v>5</v>
      </c>
      <c r="D49" s="7">
        <f>VLOOKUP(B49,Products!$A$5:$C$11,3,0)</f>
        <v>150</v>
      </c>
      <c r="E49" s="7">
        <f t="shared" si="4"/>
        <v>750</v>
      </c>
      <c r="F49" s="7">
        <f t="shared" si="6"/>
        <v>675</v>
      </c>
      <c r="G49" s="10"/>
      <c r="K49" s="6">
        <v>5</v>
      </c>
      <c r="L49" s="6">
        <v>102</v>
      </c>
      <c r="M49" s="6">
        <v>5</v>
      </c>
      <c r="N49" s="7">
        <f>VLOOKUP(L49,Products!$A$5:$C$11,3,0)</f>
        <v>150</v>
      </c>
      <c r="O49" s="7">
        <f t="shared" si="5"/>
        <v>750</v>
      </c>
      <c r="P49" s="7" t="str">
        <f>IF(ISNA(VLOOKUP(L49,Products!$A$5:$C$11,1,0)),"Not Ordered","Ordered")</f>
        <v>Ordered</v>
      </c>
    </row>
    <row r="50" spans="1:16" ht="15.6" x14ac:dyDescent="0.3">
      <c r="A50" s="6">
        <v>6</v>
      </c>
      <c r="B50" s="6">
        <v>104</v>
      </c>
      <c r="C50" s="6">
        <v>6</v>
      </c>
      <c r="D50" s="7">
        <f>VLOOKUP(B50,Products!$A$5:$C$11,3,0)</f>
        <v>90</v>
      </c>
      <c r="E50" s="7">
        <f t="shared" si="4"/>
        <v>540</v>
      </c>
      <c r="F50" s="7">
        <f t="shared" si="6"/>
        <v>486</v>
      </c>
      <c r="G50" s="10"/>
      <c r="K50" s="6">
        <v>6</v>
      </c>
      <c r="L50" s="6">
        <v>104</v>
      </c>
      <c r="M50" s="6">
        <v>6</v>
      </c>
      <c r="N50" s="7">
        <f>VLOOKUP(L50,Products!$A$5:$C$11,3,0)</f>
        <v>90</v>
      </c>
      <c r="O50" s="7">
        <f t="shared" si="5"/>
        <v>540</v>
      </c>
      <c r="P50" s="7" t="str">
        <f>IF(ISNA(VLOOKUP(L50,Products!$A$5:$C$11,1,0)),"Not Ordered","Ordered")</f>
        <v>Ordered</v>
      </c>
    </row>
    <row r="51" spans="1:16" ht="15.6" x14ac:dyDescent="0.3">
      <c r="A51" s="6">
        <v>7</v>
      </c>
      <c r="B51" s="6">
        <v>107</v>
      </c>
      <c r="C51" s="6">
        <v>7</v>
      </c>
      <c r="D51" s="7">
        <v>250</v>
      </c>
      <c r="E51" s="7">
        <f t="shared" si="4"/>
        <v>1750</v>
      </c>
      <c r="F51" s="7">
        <f t="shared" si="6"/>
        <v>1575</v>
      </c>
      <c r="G51" s="10"/>
      <c r="K51" s="6">
        <v>7</v>
      </c>
      <c r="L51" s="6">
        <v>107</v>
      </c>
      <c r="M51" s="6">
        <v>7</v>
      </c>
      <c r="N51" s="7">
        <v>250</v>
      </c>
      <c r="O51" s="7">
        <f t="shared" si="5"/>
        <v>1750</v>
      </c>
      <c r="P51" s="7" t="str">
        <f>IF(ISNA(VLOOKUP(L51,Products!$A$5:$C$11,1,0)),"Not Ordered","Ordered")</f>
        <v>Not Ordered</v>
      </c>
    </row>
    <row r="55" spans="1:16" ht="15.6" x14ac:dyDescent="0.3">
      <c r="A55" s="2" t="s">
        <v>29</v>
      </c>
      <c r="B55" s="2"/>
      <c r="C55" s="2"/>
      <c r="D55" s="2"/>
      <c r="E55" s="2"/>
    </row>
    <row r="56" spans="1:16" ht="15.6" x14ac:dyDescent="0.3">
      <c r="A56" s="2" t="s">
        <v>30</v>
      </c>
      <c r="B56" s="2"/>
      <c r="C56" s="2"/>
      <c r="D56" s="2"/>
      <c r="E56" s="2"/>
    </row>
    <row r="58" spans="1:16" ht="15.6" x14ac:dyDescent="0.3">
      <c r="A58" s="9" t="s">
        <v>8</v>
      </c>
      <c r="B58" s="9" t="s">
        <v>0</v>
      </c>
      <c r="C58" s="9" t="s">
        <v>9</v>
      </c>
      <c r="D58" s="9" t="s">
        <v>14</v>
      </c>
      <c r="E58" s="9" t="s">
        <v>1</v>
      </c>
      <c r="F58" s="9" t="s">
        <v>10</v>
      </c>
    </row>
    <row r="59" spans="1:16" ht="15.6" x14ac:dyDescent="0.3">
      <c r="A59" s="6">
        <v>1</v>
      </c>
      <c r="B59" s="6">
        <v>101</v>
      </c>
      <c r="C59" s="6">
        <v>2</v>
      </c>
      <c r="D59" s="6" t="str">
        <f>VLOOKUP(B59,Products!$A$5:$C$11,2,0)</f>
        <v>Product A</v>
      </c>
      <c r="E59" s="7">
        <f>VLOOKUP(B59,Products!$A$5:$C$11,3,0)</f>
        <v>120</v>
      </c>
      <c r="F59" s="7">
        <f>C59*E59</f>
        <v>240</v>
      </c>
    </row>
    <row r="60" spans="1:16" ht="15.6" x14ac:dyDescent="0.3">
      <c r="A60" s="6">
        <v>2</v>
      </c>
      <c r="B60" s="6">
        <v>103</v>
      </c>
      <c r="C60" s="6">
        <v>1</v>
      </c>
      <c r="D60" s="6" t="str">
        <f>VLOOKUP(B60,Products!$A$5:$C$11,2,0)</f>
        <v>Product C</v>
      </c>
      <c r="E60" s="7">
        <f>VLOOKUP(B60,Products!$A$5:$C$11,3,0)</f>
        <v>200</v>
      </c>
      <c r="F60" s="7">
        <f t="shared" ref="F60:F64" si="7">C60*E60</f>
        <v>200</v>
      </c>
    </row>
    <row r="61" spans="1:16" ht="15.6" x14ac:dyDescent="0.3">
      <c r="A61" s="6">
        <v>3</v>
      </c>
      <c r="B61" s="6">
        <v>105</v>
      </c>
      <c r="C61" s="6">
        <v>4</v>
      </c>
      <c r="D61" s="6" t="str">
        <f>VLOOKUP(B61,Products!$A$5:$C$11,2,0)</f>
        <v>Product E</v>
      </c>
      <c r="E61" s="7">
        <f>VLOOKUP(B61,Products!$A$5:$C$11,3,0)</f>
        <v>220</v>
      </c>
      <c r="F61" s="7">
        <f t="shared" si="7"/>
        <v>880</v>
      </c>
      <c r="J61" s="9" t="s">
        <v>14</v>
      </c>
      <c r="K61" s="11" t="s">
        <v>32</v>
      </c>
    </row>
    <row r="62" spans="1:16" ht="15.6" x14ac:dyDescent="0.3">
      <c r="A62" s="6">
        <v>4</v>
      </c>
      <c r="B62" s="6">
        <v>106</v>
      </c>
      <c r="C62" s="6">
        <v>3</v>
      </c>
      <c r="D62" s="6" t="str">
        <f>VLOOKUP(B62,Products!$A$5:$C$11,2,0)</f>
        <v>Product F</v>
      </c>
      <c r="E62" s="7">
        <f>VLOOKUP(B62,Products!$A$5:$C$11,3,0)</f>
        <v>130</v>
      </c>
      <c r="F62" s="7">
        <f t="shared" si="7"/>
        <v>390</v>
      </c>
      <c r="J62" s="11" t="s">
        <v>14</v>
      </c>
      <c r="K62" s="11">
        <f>SUMIF(D59:D65,D63,F59:F65)</f>
        <v>1350</v>
      </c>
    </row>
    <row r="63" spans="1:16" ht="15.6" x14ac:dyDescent="0.3">
      <c r="A63" s="6">
        <v>5</v>
      </c>
      <c r="B63" s="6">
        <v>102</v>
      </c>
      <c r="C63" s="6">
        <v>5</v>
      </c>
      <c r="D63" s="6" t="str">
        <f>VLOOKUP(B63,Products!$A$5:$C$11,2,0)</f>
        <v>Product B</v>
      </c>
      <c r="E63" s="7">
        <f>VLOOKUP(B63,Products!$A$5:$C$11,3,0)</f>
        <v>150</v>
      </c>
      <c r="F63" s="7">
        <f t="shared" si="7"/>
        <v>750</v>
      </c>
    </row>
    <row r="64" spans="1:16" ht="15.6" x14ac:dyDescent="0.3">
      <c r="A64" s="6">
        <v>6</v>
      </c>
      <c r="B64" s="6">
        <v>104</v>
      </c>
      <c r="C64" s="6">
        <v>6</v>
      </c>
      <c r="D64" s="6" t="str">
        <f>VLOOKUP(B64,Products!$A$5:$C$11,2,0)</f>
        <v>Product D</v>
      </c>
      <c r="E64" s="7">
        <f>VLOOKUP(B64,Products!$A$5:$C$11,3,0)</f>
        <v>90</v>
      </c>
      <c r="F64" s="7">
        <f t="shared" si="7"/>
        <v>540</v>
      </c>
    </row>
    <row r="65" spans="1:6" ht="15.6" x14ac:dyDescent="0.3">
      <c r="A65" s="8">
        <v>8</v>
      </c>
      <c r="B65" s="8">
        <v>102</v>
      </c>
      <c r="C65" s="8">
        <v>4</v>
      </c>
      <c r="D65" s="6" t="str">
        <f>VLOOKUP(B65,Products!$A$5:$C$11,2,0)</f>
        <v>Product B</v>
      </c>
      <c r="E65" s="8">
        <v>250</v>
      </c>
      <c r="F65" s="8"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Anand</dc:creator>
  <cp:lastModifiedBy>Aman Anand</cp:lastModifiedBy>
  <dcterms:created xsi:type="dcterms:W3CDTF">2026-05-21T06:23:18Z</dcterms:created>
  <dcterms:modified xsi:type="dcterms:W3CDTF">2026-05-25T04:47:57Z</dcterms:modified>
</cp:coreProperties>
</file>