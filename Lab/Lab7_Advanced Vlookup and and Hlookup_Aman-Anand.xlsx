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Anudip\Lab\"/>
    </mc:Choice>
  </mc:AlternateContent>
  <xr:revisionPtr revIDLastSave="0" documentId="13_ncr:1_{2E7F9E49-8988-4DEE-ADC9-143FD26EE3F5}" xr6:coauthVersionLast="47" xr6:coauthVersionMax="47" xr10:uidLastSave="{00000000-0000-0000-0000-000000000000}"/>
  <bookViews>
    <workbookView xWindow="-108" yWindow="-108" windowWidth="23256" windowHeight="13176" activeTab="1" xr2:uid="{6557856B-D326-49F0-8678-25D132E37BDA}"/>
  </bookViews>
  <sheets>
    <sheet name="Products" sheetId="1" r:id="rId1"/>
    <sheet name="Orders" sheetId="2" r:id="rId2"/>
    <sheet name="Monthly 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2" l="1"/>
  <c r="E24" i="2"/>
  <c r="E25" i="2"/>
  <c r="E26" i="2"/>
  <c r="E27" i="2"/>
  <c r="E28" i="2"/>
  <c r="D23" i="2"/>
  <c r="D24" i="2"/>
  <c r="D25" i="2"/>
  <c r="D26" i="2"/>
  <c r="D27" i="2"/>
  <c r="D28" i="2"/>
  <c r="C23" i="2"/>
  <c r="C24" i="2"/>
  <c r="C25" i="2"/>
  <c r="C26" i="2"/>
  <c r="C27" i="2"/>
  <c r="E22" i="2"/>
  <c r="D12" i="2"/>
  <c r="H12" i="2" s="1"/>
  <c r="B12" i="3"/>
  <c r="C22" i="2"/>
  <c r="D22" i="2" s="1"/>
  <c r="E12" i="2"/>
  <c r="I12" i="2" s="1"/>
  <c r="D13" i="2"/>
  <c r="E13" i="2" s="1"/>
  <c r="D14" i="2"/>
  <c r="E14" i="2" s="1"/>
  <c r="D15" i="2"/>
  <c r="E15" i="2" s="1"/>
  <c r="D16" i="2"/>
  <c r="E16" i="2" s="1"/>
  <c r="D17" i="2"/>
  <c r="E17" i="2" s="1"/>
</calcChain>
</file>

<file path=xl/sharedStrings.xml><?xml version="1.0" encoding="utf-8"?>
<sst xmlns="http://schemas.openxmlformats.org/spreadsheetml/2006/main" count="49" uniqueCount="27">
  <si>
    <t>Products ID</t>
  </si>
  <si>
    <t>Product</t>
  </si>
  <si>
    <t>Category</t>
  </si>
  <si>
    <t>Product A</t>
  </si>
  <si>
    <t>Product B</t>
  </si>
  <si>
    <t>Product C</t>
  </si>
  <si>
    <t>Product D</t>
  </si>
  <si>
    <t>Product E</t>
  </si>
  <si>
    <t>Product F</t>
  </si>
  <si>
    <t>Electronics</t>
  </si>
  <si>
    <t>Furniture</t>
  </si>
  <si>
    <t>Clothing</t>
  </si>
  <si>
    <t>Price</t>
  </si>
  <si>
    <t>Order ID</t>
  </si>
  <si>
    <t>ProductID</t>
  </si>
  <si>
    <t>Quantity</t>
  </si>
  <si>
    <t>Unit Price</t>
  </si>
  <si>
    <t>Total Price</t>
  </si>
  <si>
    <t>1. Use VLOOKUP to dynamically find the unit price for each ProductID in the Orders worksheet and calculate the total price.</t>
  </si>
  <si>
    <t>2. Use nested VLOOKUP to find the category of each product in the Orders worksheet.</t>
  </si>
  <si>
    <t>Jan</t>
  </si>
  <si>
    <t>Feb</t>
  </si>
  <si>
    <t>Mar</t>
  </si>
  <si>
    <t>Apr</t>
  </si>
  <si>
    <t>May</t>
  </si>
  <si>
    <t>1. Use HLOOKUP to dynamically find the sales for Product B in a specified month.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</si>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</sst>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  <xf numFmtId="0" fontId="2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4CECE-4ECE-4479-99CA-40D3D40A204A}">
  <dimension ref="A1:D7"/>
  <sheetViews>
    <sheetView workbookViewId="0">
      <selection activeCell="F19" sqref="F19"/>
    </sheetView>
  </sheetViews>
  <sheetFormatPr defaultRowHeight="14.4" x14ac:dyDescent="0.3"/>
  <cols>
    <col min="1" max="1" width="10.6640625" bestFit="1" customWidth="1"/>
    <col min="2" max="2" width="9.33203125" bestFit="1" customWidth="1"/>
    <col min="3" max="3" width="10" bestFit="1" customWidth="1"/>
    <col min="4" max="4" width="5.10937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12</v>
      </c>
    </row>
    <row r="2" spans="1:4" x14ac:dyDescent="0.3">
      <c r="A2" s="1">
        <v>101</v>
      </c>
      <c r="B2" s="1" t="s">
        <v>3</v>
      </c>
      <c r="C2" s="1" t="s">
        <v>9</v>
      </c>
      <c r="D2" s="1">
        <v>120</v>
      </c>
    </row>
    <row r="3" spans="1:4" x14ac:dyDescent="0.3">
      <c r="A3" s="1">
        <v>102</v>
      </c>
      <c r="B3" s="1" t="s">
        <v>4</v>
      </c>
      <c r="C3" s="1" t="s">
        <v>10</v>
      </c>
      <c r="D3" s="1">
        <v>150</v>
      </c>
    </row>
    <row r="4" spans="1:4" x14ac:dyDescent="0.3">
      <c r="A4" s="1">
        <v>103</v>
      </c>
      <c r="B4" s="1" t="s">
        <v>5</v>
      </c>
      <c r="C4" s="1" t="s">
        <v>9</v>
      </c>
      <c r="D4" s="1">
        <v>200</v>
      </c>
    </row>
    <row r="5" spans="1:4" x14ac:dyDescent="0.3">
      <c r="A5" s="1">
        <v>104</v>
      </c>
      <c r="B5" s="1" t="s">
        <v>6</v>
      </c>
      <c r="C5" s="1" t="s">
        <v>11</v>
      </c>
      <c r="D5" s="1">
        <v>90</v>
      </c>
    </row>
    <row r="6" spans="1:4" x14ac:dyDescent="0.3">
      <c r="A6" s="1">
        <v>105</v>
      </c>
      <c r="B6" s="1" t="s">
        <v>7</v>
      </c>
      <c r="C6" s="1" t="s">
        <v>10</v>
      </c>
      <c r="D6" s="1">
        <v>220</v>
      </c>
    </row>
    <row r="7" spans="1:4" x14ac:dyDescent="0.3">
      <c r="A7" s="1">
        <v>106</v>
      </c>
      <c r="B7" s="1" t="s">
        <v>8</v>
      </c>
      <c r="C7" s="1" t="s">
        <v>9</v>
      </c>
      <c r="D7" s="1">
        <v>130</v>
      </c>
    </row>
  </sheetData>
  <dataValidations count="1">
    <dataValidation type="list" allowBlank="1" showInputMessage="1" showErrorMessage="1" sqref="A2:A7" xr:uid="{2C6C0F13-8918-47B7-A73D-850F48B858C0}">
      <formula1>$A$2:$A$7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C0BA-5B7C-41EF-9E20-0AB5C4428576}">
  <dimension ref="A1:L28"/>
  <sheetViews>
    <sheetView tabSelected="1" topLeftCell="A4" workbookViewId="0">
      <selection activeCell="I26" sqref="I26"/>
    </sheetView>
  </sheetViews>
  <sheetFormatPr defaultRowHeight="14.4" x14ac:dyDescent="0.3"/>
  <cols>
    <col min="1" max="1" width="9.44140625" bestFit="1" customWidth="1"/>
    <col min="2" max="2" width="8.33203125" bestFit="1" customWidth="1"/>
    <col min="3" max="3" width="9.109375" bestFit="1" customWidth="1"/>
    <col min="4" max="4" width="9.77734375" bestFit="1" customWidth="1"/>
    <col min="5" max="5" width="12.21875" bestFit="1" customWidth="1"/>
  </cols>
  <sheetData>
    <row r="1" spans="1:12" x14ac:dyDescent="0.3">
      <c r="A1" s="5" t="s">
        <v>13</v>
      </c>
      <c r="B1" s="5" t="s">
        <v>14</v>
      </c>
      <c r="C1" s="5" t="s">
        <v>15</v>
      </c>
    </row>
    <row r="2" spans="1:12" x14ac:dyDescent="0.3">
      <c r="A2" s="1">
        <v>1</v>
      </c>
      <c r="B2" s="1">
        <v>101</v>
      </c>
      <c r="C2" s="1">
        <v>2</v>
      </c>
    </row>
    <row r="3" spans="1:12" x14ac:dyDescent="0.3">
      <c r="A3" s="1">
        <v>2</v>
      </c>
      <c r="B3" s="1">
        <v>103</v>
      </c>
      <c r="C3" s="1">
        <v>1</v>
      </c>
    </row>
    <row r="4" spans="1:12" x14ac:dyDescent="0.3">
      <c r="A4" s="1">
        <v>3</v>
      </c>
      <c r="B4" s="1">
        <v>105</v>
      </c>
      <c r="C4" s="1">
        <v>4</v>
      </c>
    </row>
    <row r="5" spans="1:12" x14ac:dyDescent="0.3">
      <c r="A5" s="1">
        <v>4</v>
      </c>
      <c r="B5" s="1">
        <v>106</v>
      </c>
      <c r="C5" s="1">
        <v>3</v>
      </c>
    </row>
    <row r="6" spans="1:12" x14ac:dyDescent="0.3">
      <c r="A6" s="1">
        <v>5</v>
      </c>
      <c r="B6" s="1">
        <v>102</v>
      </c>
      <c r="C6" s="1">
        <v>5</v>
      </c>
    </row>
    <row r="7" spans="1:12" x14ac:dyDescent="0.3">
      <c r="A7" s="1">
        <v>6</v>
      </c>
      <c r="B7" s="1">
        <v>104</v>
      </c>
      <c r="C7" s="1">
        <v>6</v>
      </c>
    </row>
    <row r="9" spans="1:12" x14ac:dyDescent="0.3">
      <c r="A9" s="2" t="s">
        <v>18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1" spans="1:12" x14ac:dyDescent="0.3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G11" s="6" t="s">
        <v>14</v>
      </c>
      <c r="H11" s="6" t="s">
        <v>16</v>
      </c>
      <c r="I11" s="6" t="s">
        <v>17</v>
      </c>
    </row>
    <row r="12" spans="1:12" x14ac:dyDescent="0.3">
      <c r="A12" s="3">
        <v>1</v>
      </c>
      <c r="B12" s="3">
        <v>101</v>
      </c>
      <c r="C12" s="3">
        <v>2</v>
      </c>
      <c r="D12" s="3">
        <f>VLOOKUP(B12,Products!A1:D7,4,0)</f>
        <v>120</v>
      </c>
      <c r="E12" s="3">
        <f>C12*D12</f>
        <v>240</v>
      </c>
      <c r="G12" s="3">
        <v>101</v>
      </c>
      <c r="H12" s="4">
        <f>VLOOKUP(G12,B11:E17,3,0)</f>
        <v>120</v>
      </c>
      <c r="I12" s="4">
        <f>VLOOKUP(G12,B11:E17,4,0)</f>
        <v>240</v>
      </c>
    </row>
    <row r="13" spans="1:12" x14ac:dyDescent="0.3">
      <c r="A13" s="3">
        <v>5</v>
      </c>
      <c r="B13" s="3">
        <v>102</v>
      </c>
      <c r="C13" s="3">
        <v>5</v>
      </c>
      <c r="D13" s="3">
        <f>VLOOKUP(B13,Products!A2:D8,4,0)</f>
        <v>150</v>
      </c>
      <c r="E13" s="3">
        <f t="shared" ref="E13:E17" si="0">C13*D13</f>
        <v>750</v>
      </c>
    </row>
    <row r="14" spans="1:12" x14ac:dyDescent="0.3">
      <c r="A14" s="3">
        <v>2</v>
      </c>
      <c r="B14" s="3">
        <v>103</v>
      </c>
      <c r="C14" s="3">
        <v>1</v>
      </c>
      <c r="D14" s="3">
        <f>VLOOKUP(B14,Products!A3:D9,4,0)</f>
        <v>200</v>
      </c>
      <c r="E14" s="3">
        <f t="shared" si="0"/>
        <v>200</v>
      </c>
    </row>
    <row r="15" spans="1:12" x14ac:dyDescent="0.3">
      <c r="A15" s="3">
        <v>6</v>
      </c>
      <c r="B15" s="3">
        <v>104</v>
      </c>
      <c r="C15" s="3">
        <v>6</v>
      </c>
      <c r="D15" s="3">
        <f>VLOOKUP(B15,Products!A4:D10,4,0)</f>
        <v>90</v>
      </c>
      <c r="E15" s="3">
        <f t="shared" si="0"/>
        <v>540</v>
      </c>
    </row>
    <row r="16" spans="1:12" x14ac:dyDescent="0.3">
      <c r="A16" s="3">
        <v>3</v>
      </c>
      <c r="B16" s="3">
        <v>105</v>
      </c>
      <c r="C16" s="3">
        <v>4</v>
      </c>
      <c r="D16" s="3">
        <f>VLOOKUP(B16,Products!A5:D11,4,0)</f>
        <v>220</v>
      </c>
      <c r="E16" s="3">
        <f t="shared" si="0"/>
        <v>880</v>
      </c>
    </row>
    <row r="17" spans="1:8" x14ac:dyDescent="0.3">
      <c r="A17" s="3">
        <v>4</v>
      </c>
      <c r="B17" s="3">
        <v>106</v>
      </c>
      <c r="C17" s="3">
        <v>3</v>
      </c>
      <c r="D17" s="3">
        <f>VLOOKUP(B17,Products!A6:D12,4,0)</f>
        <v>130</v>
      </c>
      <c r="E17" s="3">
        <f t="shared" si="0"/>
        <v>390</v>
      </c>
    </row>
    <row r="19" spans="1:8" x14ac:dyDescent="0.3">
      <c r="A19" s="2" t="s">
        <v>19</v>
      </c>
      <c r="B19" s="2"/>
      <c r="C19" s="2"/>
      <c r="D19" s="2"/>
      <c r="E19" s="2"/>
      <c r="F19" s="2"/>
      <c r="G19" s="2"/>
      <c r="H19" s="2"/>
    </row>
    <row r="21" spans="1:8" x14ac:dyDescent="0.3">
      <c r="A21" s="6" t="s">
        <v>14</v>
      </c>
      <c r="B21" s="6" t="s">
        <v>15</v>
      </c>
      <c r="C21" s="6" t="s">
        <v>16</v>
      </c>
      <c r="D21" s="6" t="s">
        <v>17</v>
      </c>
      <c r="E21" s="6" t="s">
        <v>2</v>
      </c>
    </row>
    <row r="22" spans="1:8" x14ac:dyDescent="0.3">
      <c r="A22" s="3">
        <v>101</v>
      </c>
      <c r="B22" s="3">
        <v>2</v>
      </c>
      <c r="C22" s="3">
        <f>VLOOKUP(A22,Products!A1:D7,4,0)</f>
        <v>120</v>
      </c>
      <c r="D22" s="3">
        <f>B22*C22</f>
        <v>240</v>
      </c>
      <c r="E22" s="3" t="str">
        <f>_xlfn.IFNA(VLOOKUP(VLOOKUP(A22,Products!A1:B7,2,0),Products!B1:C7,2,0),"Not Available")</f>
        <v>Electronics</v>
      </c>
    </row>
    <row r="23" spans="1:8" x14ac:dyDescent="0.3">
      <c r="A23" s="3">
        <v>102</v>
      </c>
      <c r="B23" s="3">
        <v>5</v>
      </c>
      <c r="C23" s="3">
        <f>VLOOKUP(A23,Products!A2:D8,4,0)</f>
        <v>150</v>
      </c>
      <c r="D23" s="3">
        <f t="shared" ref="D23:D28" si="1">B23*C23</f>
        <v>750</v>
      </c>
      <c r="E23" s="3" t="str">
        <f>_xlfn.IFNA(VLOOKUP(VLOOKUP(A23,Products!A2:B8,2,0),Products!B2:C8,2,0),"Not Available")</f>
        <v>Furniture</v>
      </c>
    </row>
    <row r="24" spans="1:8" x14ac:dyDescent="0.3">
      <c r="A24" s="3">
        <v>103</v>
      </c>
      <c r="B24" s="3">
        <v>1</v>
      </c>
      <c r="C24" s="3">
        <f>VLOOKUP(A24,Products!A3:D9,4,0)</f>
        <v>200</v>
      </c>
      <c r="D24" s="3">
        <f t="shared" si="1"/>
        <v>200</v>
      </c>
      <c r="E24" s="3" t="str">
        <f>_xlfn.IFNA(VLOOKUP(VLOOKUP(A24,Products!A3:B9,2,0),Products!B3:C9,2,0),"Not Available")</f>
        <v>Electronics</v>
      </c>
    </row>
    <row r="25" spans="1:8" x14ac:dyDescent="0.3">
      <c r="A25" s="3">
        <v>104</v>
      </c>
      <c r="B25" s="3">
        <v>6</v>
      </c>
      <c r="C25" s="3">
        <f>VLOOKUP(A25,Products!A4:D10,4,0)</f>
        <v>90</v>
      </c>
      <c r="D25" s="3">
        <f t="shared" si="1"/>
        <v>540</v>
      </c>
      <c r="E25" s="3" t="str">
        <f>_xlfn.IFNA(VLOOKUP(VLOOKUP(A25,Products!A4:B10,2,0),Products!B4:C10,2,0),"Not Available")</f>
        <v>Clothing</v>
      </c>
    </row>
    <row r="26" spans="1:8" x14ac:dyDescent="0.3">
      <c r="A26" s="3">
        <v>105</v>
      </c>
      <c r="B26" s="3">
        <v>4</v>
      </c>
      <c r="C26" s="3">
        <f>VLOOKUP(A26,Products!A5:D11,4,0)</f>
        <v>220</v>
      </c>
      <c r="D26" s="3">
        <f t="shared" si="1"/>
        <v>880</v>
      </c>
      <c r="E26" s="3" t="str">
        <f>_xlfn.IFNA(VLOOKUP(VLOOKUP(A26,Products!A5:B11,2,0),Products!B5:C11,2,0),"Not Available")</f>
        <v>Furniture</v>
      </c>
    </row>
    <row r="27" spans="1:8" x14ac:dyDescent="0.3">
      <c r="A27" s="3">
        <v>106</v>
      </c>
      <c r="B27" s="3">
        <v>3</v>
      </c>
      <c r="C27" s="3">
        <f>VLOOKUP(A27,Products!A6:D12,4,0)</f>
        <v>130</v>
      </c>
      <c r="D27" s="3">
        <f t="shared" si="1"/>
        <v>390</v>
      </c>
      <c r="E27" s="3" t="str">
        <f>_xlfn.IFNA(VLOOKUP(VLOOKUP(A27,Products!A6:B12,2,0),Products!B6:C12,2,0),"Not Available")</f>
        <v>Electronics</v>
      </c>
    </row>
    <row r="28" spans="1:8" x14ac:dyDescent="0.3">
      <c r="A28" s="7">
        <v>107</v>
      </c>
      <c r="B28" s="7">
        <v>7</v>
      </c>
      <c r="C28" s="8">
        <v>250</v>
      </c>
      <c r="D28" s="3">
        <f t="shared" si="1"/>
        <v>1750</v>
      </c>
      <c r="E28" s="3" t="str">
        <f>_xlfn.IFNA(VLOOKUP(VLOOKUP(A28,Products!A7:B13,2,0),Products!B7:C13,2,0),"Not Available")</f>
        <v>Not Available</v>
      </c>
    </row>
  </sheetData>
  <sortState xmlns:xlrd2="http://schemas.microsoft.com/office/spreadsheetml/2017/richdata2" ref="A12:E17">
    <sortCondition ref="B11:B17"/>
  </sortState>
  <dataValidations count="1">
    <dataValidation type="list" allowBlank="1" showInputMessage="1" showErrorMessage="1" sqref="B12 G12" xr:uid="{1D9714DA-C32C-4999-BD4C-B7A6B144E017}">
      <formula1>$B$12:$B$17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F2DC-8779-48D2-9219-EF8DB01157B9}">
  <dimension ref="A1:H12"/>
  <sheetViews>
    <sheetView workbookViewId="0">
      <selection activeCell="K24" sqref="K24"/>
    </sheetView>
  </sheetViews>
  <sheetFormatPr defaultRowHeight="14.4" x14ac:dyDescent="0.3"/>
  <sheetData>
    <row r="1" spans="1:8" x14ac:dyDescent="0.3">
      <c r="A1" s="5"/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</row>
    <row r="2" spans="1:8" x14ac:dyDescent="0.3">
      <c r="A2" s="1" t="s">
        <v>3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</row>
    <row r="3" spans="1:8" x14ac:dyDescent="0.3">
      <c r="A3" s="1" t="s">
        <v>4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</row>
    <row r="4" spans="1:8" x14ac:dyDescent="0.3">
      <c r="A4" s="1" t="s">
        <v>5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</row>
    <row r="5" spans="1:8" x14ac:dyDescent="0.3">
      <c r="A5" s="1" t="s">
        <v>6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</row>
    <row r="6" spans="1:8" x14ac:dyDescent="0.3">
      <c r="A6" s="1" t="s">
        <v>7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</row>
    <row r="7" spans="1:8" x14ac:dyDescent="0.3">
      <c r="A7" s="1" t="s">
        <v>8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</row>
    <row r="9" spans="1:8" x14ac:dyDescent="0.3">
      <c r="A9" s="2" t="s">
        <v>25</v>
      </c>
      <c r="B9" s="2"/>
      <c r="C9" s="2"/>
      <c r="D9" s="2"/>
      <c r="E9" s="2"/>
      <c r="F9" s="2"/>
      <c r="G9" s="2"/>
      <c r="H9" s="2"/>
    </row>
    <row r="11" spans="1:8" x14ac:dyDescent="0.3">
      <c r="A11" s="6" t="s">
        <v>4</v>
      </c>
      <c r="B11" s="6" t="s">
        <v>22</v>
      </c>
    </row>
    <row r="12" spans="1:8" x14ac:dyDescent="0.3">
      <c r="A12" s="3" t="s">
        <v>26</v>
      </c>
      <c r="B12" s="3">
        <f>HLOOKUP(B11,A1:F7,3,0)</f>
        <v>170</v>
      </c>
    </row>
  </sheetData>
  <phoneticPr fontId="4" type="noConversion"/>
  <dataValidations count="1">
    <dataValidation type="list" allowBlank="1" showInputMessage="1" showErrorMessage="1" sqref="B11" xr:uid="{C6FB260E-7AED-40B0-8F3D-41B1951EF75D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Anand</dc:creator>
  <cp:lastModifiedBy>Aman Anand</cp:lastModifiedBy>
  <dcterms:created xsi:type="dcterms:W3CDTF">2026-05-24T11:00:42Z</dcterms:created>
  <dcterms:modified xsi:type="dcterms:W3CDTF">2026-05-25T06:18:51Z</dcterms:modified>
</cp:coreProperties>
</file>