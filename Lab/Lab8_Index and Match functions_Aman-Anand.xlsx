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urses\Anudip\Lab\"/>
    </mc:Choice>
  </mc:AlternateContent>
  <xr:revisionPtr revIDLastSave="0" documentId="13_ncr:1_{29DE1169-723C-43DD-A745-1406A2D5878F}" xr6:coauthVersionLast="47" xr6:coauthVersionMax="47" xr10:uidLastSave="{00000000-0000-0000-0000-000000000000}"/>
  <bookViews>
    <workbookView xWindow="-108" yWindow="-108" windowWidth="23256" windowHeight="13176" xr2:uid="{3C470571-5624-42FC-A81B-0D3499AFCE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7" i="1" l="1"/>
  <c r="O33" i="1"/>
  <c r="O27" i="1"/>
  <c r="O14" i="1"/>
  <c r="B48" i="1"/>
  <c r="O42" i="1" a="1"/>
  <c r="O42" i="1" s="1"/>
  <c r="P42" i="1" a="1"/>
  <c r="P42" i="1" s="1"/>
  <c r="Q42" i="1" a="1"/>
  <c r="Q42" i="1" s="1"/>
  <c r="R42" i="1" a="1"/>
  <c r="R42" i="1" s="1"/>
  <c r="S42" i="1" a="1"/>
  <c r="S42" i="1" s="1"/>
  <c r="O18" i="1"/>
  <c r="B18" i="1"/>
  <c r="O24" i="1"/>
  <c r="B44" i="1"/>
  <c r="B38" i="1"/>
  <c r="B34" i="1"/>
  <c r="B28" i="1"/>
  <c r="B24" i="1"/>
  <c r="B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<sst xmlns="http://schemas.openxmlformats.org/spreadsheetml/2006/main" count="75" uniqueCount="30">
  <si>
    <t>ProductID</t>
  </si>
  <si>
    <t>Product</t>
  </si>
  <si>
    <t>Category</t>
  </si>
  <si>
    <t>Jan Sales</t>
  </si>
  <si>
    <t>Feb Sales</t>
  </si>
  <si>
    <t>Mar Sales</t>
  </si>
  <si>
    <t>Apr Sales</t>
  </si>
  <si>
    <t>May Sales</t>
  </si>
  <si>
    <t>PRODA</t>
  </si>
  <si>
    <t>PRODB</t>
  </si>
  <si>
    <t>PRODC</t>
  </si>
  <si>
    <t>PRODD</t>
  </si>
  <si>
    <t>PRODE</t>
  </si>
  <si>
    <t>PRODF</t>
  </si>
  <si>
    <t>Electronics</t>
  </si>
  <si>
    <t>Furniture</t>
  </si>
  <si>
    <t>Clothing</t>
  </si>
  <si>
    <t>1. Use INDEX and MATCH to find the sales for Product C in March.</t>
  </si>
  <si>
    <t>2. Use INDEX and MATCH to find the category for Product E.</t>
  </si>
  <si>
    <t>3. Use INDEX and MATCH to find the maximum sales for Product B across all months.</t>
  </si>
  <si>
    <t>Max Sales</t>
  </si>
  <si>
    <t>4. Use INDEX and MATCH to find the month with the maximum sales for Product A.</t>
  </si>
  <si>
    <t>5. Use INDEX, MATCH, and SUMIF to sum the sales for all products in the "Electronics" category for April.</t>
  </si>
  <si>
    <t>6. Use INDEX and MATCH to calculate the average sales for Product D across all months.</t>
  </si>
  <si>
    <t>7. Use INDEX and MATCH to find the sales for Product ID 105 in May.</t>
  </si>
  <si>
    <t>8. Use INDEX and MATCH to create a dynamic lookup where the user can input a product and a month, and the formula returns the corresponding sales.</t>
  </si>
  <si>
    <t>Product ID</t>
  </si>
  <si>
    <t>Max Sales Month</t>
  </si>
  <si>
    <t>Avg  Sales</t>
  </si>
  <si>
    <t>Sum of Apr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</si>
</sst>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theme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2" fillId="0" borderId="0" xfId="0" applyFont="1"/>
    <xf numFmtId="0" fontId="2" fillId="0" borderId="1" xfId="0" applyFont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4486-313D-4C46-B38B-D21180E9E794}">
  <dimension ref="A1:S48"/>
  <sheetViews>
    <sheetView tabSelected="1" workbookViewId="0">
      <selection activeCell="J43" sqref="J43"/>
    </sheetView>
  </sheetViews>
  <sheetFormatPr defaultRowHeight="14.4" x14ac:dyDescent="0.3"/>
  <cols>
    <col min="1" max="1" width="7.6640625" bestFit="1" customWidth="1"/>
    <col min="2" max="2" width="15.6640625" bestFit="1" customWidth="1"/>
    <col min="14" max="14" width="10" bestFit="1" customWidth="1"/>
    <col min="15" max="15" width="15.21875" bestFit="1" customWidth="1"/>
  </cols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15" x14ac:dyDescent="0.3">
      <c r="A2" s="1">
        <v>101</v>
      </c>
      <c r="B2" s="1" t="s">
        <v>8</v>
      </c>
      <c r="C2" s="1" t="s">
        <v>14</v>
      </c>
      <c r="D2" s="1">
        <v>120</v>
      </c>
      <c r="E2" s="1">
        <v>130</v>
      </c>
      <c r="F2" s="1">
        <v>140</v>
      </c>
      <c r="G2" s="1">
        <v>150</v>
      </c>
      <c r="H2" s="1">
        <v>160</v>
      </c>
    </row>
    <row r="3" spans="1:15" x14ac:dyDescent="0.3">
      <c r="A3" s="1">
        <v>102</v>
      </c>
      <c r="B3" s="1" t="s">
        <v>9</v>
      </c>
      <c r="C3" s="1" t="s">
        <v>15</v>
      </c>
      <c r="D3" s="1">
        <v>150</v>
      </c>
      <c r="E3" s="1">
        <v>160</v>
      </c>
      <c r="F3" s="1">
        <v>170</v>
      </c>
      <c r="G3" s="1">
        <v>180</v>
      </c>
      <c r="H3" s="1">
        <v>190</v>
      </c>
    </row>
    <row r="4" spans="1:15" x14ac:dyDescent="0.3">
      <c r="A4" s="1">
        <v>103</v>
      </c>
      <c r="B4" s="1" t="s">
        <v>10</v>
      </c>
      <c r="C4" s="1" t="s">
        <v>14</v>
      </c>
      <c r="D4" s="1">
        <v>200</v>
      </c>
      <c r="E4" s="1">
        <v>210</v>
      </c>
      <c r="F4" s="1">
        <v>220</v>
      </c>
      <c r="G4" s="1">
        <v>230</v>
      </c>
      <c r="H4" s="1">
        <v>240</v>
      </c>
    </row>
    <row r="5" spans="1:15" x14ac:dyDescent="0.3">
      <c r="A5" s="1">
        <v>104</v>
      </c>
      <c r="B5" s="1" t="s">
        <v>11</v>
      </c>
      <c r="C5" s="1" t="s">
        <v>16</v>
      </c>
      <c r="D5" s="1">
        <v>90</v>
      </c>
      <c r="E5" s="1">
        <v>100</v>
      </c>
      <c r="F5" s="1">
        <v>110</v>
      </c>
      <c r="G5" s="1">
        <v>120</v>
      </c>
      <c r="H5" s="1">
        <v>130</v>
      </c>
    </row>
    <row r="6" spans="1:15" x14ac:dyDescent="0.3">
      <c r="A6" s="1">
        <v>105</v>
      </c>
      <c r="B6" s="1" t="s">
        <v>12</v>
      </c>
      <c r="C6" s="1" t="s">
        <v>15</v>
      </c>
      <c r="D6" s="1">
        <v>220</v>
      </c>
      <c r="E6" s="1">
        <v>230</v>
      </c>
      <c r="F6" s="1">
        <v>240</v>
      </c>
      <c r="G6" s="1">
        <v>250</v>
      </c>
      <c r="H6" s="1">
        <v>260</v>
      </c>
    </row>
    <row r="7" spans="1:15" x14ac:dyDescent="0.3">
      <c r="A7" s="1">
        <v>106</v>
      </c>
      <c r="B7" s="1" t="s">
        <v>13</v>
      </c>
      <c r="C7" s="1" t="s">
        <v>14</v>
      </c>
      <c r="D7" s="1">
        <v>130</v>
      </c>
      <c r="E7" s="1">
        <v>140</v>
      </c>
      <c r="F7" s="1">
        <v>150</v>
      </c>
      <c r="G7" s="1">
        <v>160</v>
      </c>
      <c r="H7" s="1">
        <v>170</v>
      </c>
    </row>
    <row r="11" spans="1:15" x14ac:dyDescent="0.3">
      <c r="A11" s="3" t="s">
        <v>17</v>
      </c>
      <c r="B11" s="3"/>
      <c r="C11" s="3"/>
      <c r="D11" s="3"/>
      <c r="E11" s="3"/>
      <c r="F11" s="3"/>
      <c r="N11" s="3" t="s">
        <v>22</v>
      </c>
    </row>
    <row r="13" spans="1:15" x14ac:dyDescent="0.3">
      <c r="A13" s="5" t="s">
        <v>1</v>
      </c>
      <c r="B13" s="5" t="s">
        <v>5</v>
      </c>
      <c r="N13" s="5" t="s">
        <v>2</v>
      </c>
      <c r="O13" s="5" t="s">
        <v>29</v>
      </c>
    </row>
    <row r="14" spans="1:15" x14ac:dyDescent="0.3">
      <c r="A14" s="4" t="s">
        <v>10</v>
      </c>
      <c r="B14" s="4">
        <f>INDEX(F1:F7,MATCH(A14,B1:B7,0))</f>
        <v>220</v>
      </c>
      <c r="N14" s="4" t="s">
        <v>14</v>
      </c>
      <c r="O14" s="4">
        <f>SUMIF(C2:C7,N14,INDEX(G2:G7,0))</f>
        <v>540</v>
      </c>
    </row>
    <row r="17" spans="1:15" x14ac:dyDescent="0.3">
      <c r="A17" s="5" t="s">
        <v>1</v>
      </c>
      <c r="B17" s="5" t="s">
        <v>5</v>
      </c>
      <c r="N17" s="5" t="s">
        <v>2</v>
      </c>
      <c r="O17" s="5" t="s">
        <v>29</v>
      </c>
    </row>
    <row r="18" spans="1:15" x14ac:dyDescent="0.3">
      <c r="A18" s="4" t="s">
        <v>13</v>
      </c>
      <c r="B18" s="4">
        <f>INDEX(F1:F7,MATCH(A18,B1:B7,0))</f>
        <v>150</v>
      </c>
      <c r="N18" s="4" t="s">
        <v>16</v>
      </c>
      <c r="O18" s="4">
        <f>SUMIF(C2:C7,N18,INDEX(G2:G7,0))</f>
        <v>120</v>
      </c>
    </row>
    <row r="21" spans="1:15" x14ac:dyDescent="0.3">
      <c r="A21" s="3" t="s">
        <v>18</v>
      </c>
      <c r="N21" s="3" t="s">
        <v>23</v>
      </c>
    </row>
    <row r="23" spans="1:15" x14ac:dyDescent="0.3">
      <c r="A23" s="5" t="s">
        <v>1</v>
      </c>
      <c r="B23" s="5" t="s">
        <v>2</v>
      </c>
      <c r="N23" s="5" t="s">
        <v>1</v>
      </c>
      <c r="O23" s="5" t="s">
        <v>28</v>
      </c>
    </row>
    <row r="24" spans="1:15" x14ac:dyDescent="0.3">
      <c r="A24" s="4" t="s">
        <v>12</v>
      </c>
      <c r="B24" s="4" t="str">
        <f>INDEX(C1:C7,MATCH(A24,B1:B7,0))</f>
        <v>Furniture</v>
      </c>
      <c r="N24" s="4" t="s">
        <v>11</v>
      </c>
      <c r="O24" s="4">
        <f>AVERAGE(INDEX(D2:H7,MATCH(N24,B2:B7,0),))</f>
        <v>110</v>
      </c>
    </row>
    <row r="26" spans="1:15" x14ac:dyDescent="0.3">
      <c r="N26" s="5" t="s">
        <v>1</v>
      </c>
      <c r="O26" s="5" t="s">
        <v>28</v>
      </c>
    </row>
    <row r="27" spans="1:15" x14ac:dyDescent="0.3">
      <c r="A27" s="5" t="s">
        <v>1</v>
      </c>
      <c r="B27" s="5" t="s">
        <v>2</v>
      </c>
      <c r="N27" s="4" t="s">
        <v>11</v>
      </c>
      <c r="O27" s="4">
        <f>AVERAGE(INDEX(D2:H7,MATCH(N27,B2:B7,0),))</f>
        <v>110</v>
      </c>
    </row>
    <row r="28" spans="1:15" x14ac:dyDescent="0.3">
      <c r="A28" s="4" t="s">
        <v>12</v>
      </c>
      <c r="B28" s="4" t="str">
        <f>INDEX(C1:C7,MATCH(A28,B1:B7,0))</f>
        <v>Furniture</v>
      </c>
    </row>
    <row r="30" spans="1:15" x14ac:dyDescent="0.3">
      <c r="N30" s="3" t="s">
        <v>24</v>
      </c>
    </row>
    <row r="31" spans="1:15" x14ac:dyDescent="0.3">
      <c r="A31" s="3" t="s">
        <v>19</v>
      </c>
    </row>
    <row r="32" spans="1:15" x14ac:dyDescent="0.3">
      <c r="N32" s="5" t="s">
        <v>26</v>
      </c>
      <c r="O32" s="5" t="s">
        <v>7</v>
      </c>
    </row>
    <row r="33" spans="1:19" x14ac:dyDescent="0.3">
      <c r="A33" s="5" t="s">
        <v>1</v>
      </c>
      <c r="B33" s="5" t="s">
        <v>20</v>
      </c>
      <c r="N33" s="4">
        <v>105</v>
      </c>
      <c r="O33" s="4">
        <f>INDEX(D2:H7,MATCH(N33,A2:A7,0),MATCH(O32,D1:H1,0))</f>
        <v>260</v>
      </c>
    </row>
    <row r="34" spans="1:19" x14ac:dyDescent="0.3">
      <c r="A34" s="4" t="s">
        <v>9</v>
      </c>
      <c r="B34" s="4">
        <f>MAX(INDEX(D2:H7,MATCH(A34,B2:B7,0),))</f>
        <v>190</v>
      </c>
    </row>
    <row r="36" spans="1:19" x14ac:dyDescent="0.3">
      <c r="N36" s="5" t="s">
        <v>26</v>
      </c>
      <c r="O36" s="5" t="s">
        <v>7</v>
      </c>
    </row>
    <row r="37" spans="1:19" x14ac:dyDescent="0.3">
      <c r="A37" s="5" t="s">
        <v>1</v>
      </c>
      <c r="B37" s="5" t="s">
        <v>20</v>
      </c>
      <c r="N37" s="4">
        <v>105</v>
      </c>
      <c r="O37" s="4">
        <f>INDEX(D2:H7,MATCH(N37,A2:A7,0),MATCH(O36,D1:H1,0))</f>
        <v>260</v>
      </c>
    </row>
    <row r="38" spans="1:19" x14ac:dyDescent="0.3">
      <c r="A38" s="4" t="s">
        <v>9</v>
      </c>
      <c r="B38" s="4">
        <f>MAX(INDEX(D2:H7,MATCH(A38,B2:B7,0),))</f>
        <v>190</v>
      </c>
    </row>
    <row r="39" spans="1:19" x14ac:dyDescent="0.3">
      <c r="N39" s="3" t="s">
        <v>25</v>
      </c>
    </row>
    <row r="41" spans="1:19" x14ac:dyDescent="0.3">
      <c r="A41" s="3" t="s">
        <v>21</v>
      </c>
      <c r="N41" s="5" t="s">
        <v>1</v>
      </c>
      <c r="O41" s="5" t="s">
        <v>3</v>
      </c>
      <c r="P41" s="5" t="s">
        <v>4</v>
      </c>
      <c r="Q41" s="5" t="s">
        <v>5</v>
      </c>
      <c r="R41" s="5" t="s">
        <v>6</v>
      </c>
      <c r="S41" s="5" t="s">
        <v>7</v>
      </c>
    </row>
    <row r="42" spans="1:19" x14ac:dyDescent="0.3">
      <c r="N42" s="4" t="s">
        <v>8</v>
      </c>
      <c r="O42" s="4" cm="1">
        <f t="array" ref="O42">INDEX($D$2:$H$7,MATCH($N$42,$B$2:$B$7,0),COLUMN(A1))</f>
        <v>120</v>
      </c>
      <c r="P42" s="4" cm="1">
        <f t="array" ref="P42">INDEX($D$2:$H$7,MATCH($N$42,$B$2:$B$7,0),COLUMN(B1))</f>
        <v>130</v>
      </c>
      <c r="Q42" s="4" cm="1">
        <f t="array" ref="Q42">INDEX($D$2:$H$7,MATCH($N$42,$B$2:$B$7,0),COLUMN(C1))</f>
        <v>140</v>
      </c>
      <c r="R42" s="4" cm="1">
        <f t="array" ref="R42">INDEX($D$2:$H$7,MATCH($N$42,$B$2:$B$7,0),COLUMN(D1))</f>
        <v>150</v>
      </c>
      <c r="S42" s="4" cm="1">
        <f t="array" ref="S42">INDEX($D$2:$H$7,MATCH($N$42,$B$2:$B$7,0),COLUMN(E1))</f>
        <v>160</v>
      </c>
    </row>
    <row r="43" spans="1:19" x14ac:dyDescent="0.3">
      <c r="A43" s="5" t="s">
        <v>1</v>
      </c>
      <c r="B43" s="5" t="s">
        <v>27</v>
      </c>
    </row>
    <row r="44" spans="1:19" x14ac:dyDescent="0.3">
      <c r="A44" s="4" t="s">
        <v>8</v>
      </c>
      <c r="B44" s="4" t="str">
        <f>INDEX(D1:H1,MATCH(MAX(D2:H2),D2:H2,0))</f>
        <v>May Sales</v>
      </c>
    </row>
    <row r="47" spans="1:19" x14ac:dyDescent="0.3">
      <c r="A47" s="5" t="s">
        <v>1</v>
      </c>
      <c r="B47" s="5" t="s">
        <v>27</v>
      </c>
    </row>
    <row r="48" spans="1:19" x14ac:dyDescent="0.3">
      <c r="A48" s="4" t="s">
        <v>10</v>
      </c>
      <c r="B48" s="4" t="str">
        <f>INDEX(D1:H1,MATCH(MAX(D2:H2),D2:H2,0))</f>
        <v>May Sales</v>
      </c>
    </row>
  </sheetData>
  <dataValidations count="3">
    <dataValidation type="list" allowBlank="1" showInputMessage="1" showErrorMessage="1" sqref="A18 A28 A38 A48 N27 N42" xr:uid="{1DFBE20E-5DD2-4C5E-AF31-626D12DBCB43}">
      <formula1>$B$2:$B$7</formula1>
    </dataValidation>
    <dataValidation type="list" allowBlank="1" showInputMessage="1" showErrorMessage="1" sqref="N37" xr:uid="{0A5F4C56-E84B-451C-BA20-BC7932DB176F}">
      <formula1>$A$2:$A$7</formula1>
    </dataValidation>
    <dataValidation type="list" allowBlank="1" showInputMessage="1" showErrorMessage="1" sqref="N18" xr:uid="{2F065289-F094-40C6-91D1-E8CEAF5E1DD8}">
      <formula1>$C$2:$C$7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 Anand</dc:creator>
  <cp:lastModifiedBy>Aman Anand</cp:lastModifiedBy>
  <dcterms:created xsi:type="dcterms:W3CDTF">2026-05-26T06:34:08Z</dcterms:created>
  <dcterms:modified xsi:type="dcterms:W3CDTF">2026-05-27T05:33:25Z</dcterms:modified>
</cp:coreProperties>
</file>